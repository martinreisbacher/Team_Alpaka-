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B0C23202-8BA8-449D-88D9-FFFBE7132A31}" xr6:coauthVersionLast="47" xr6:coauthVersionMax="47" xr10:uidLastSave="{00000000-0000-0000-0000-000000000000}"/>
  <bookViews>
    <workbookView xWindow="-108" yWindow="-108" windowWidth="23256" windowHeight="13896" tabRatio="281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Tabelle1!$B$1:$CI$114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E71" i="1"/>
  <c r="D72" i="1"/>
  <c r="E73" i="1"/>
  <c r="W4" i="1"/>
  <c r="W5" i="1"/>
  <c r="E50" i="1"/>
  <c r="D49" i="1"/>
  <c r="AL4" i="1"/>
  <c r="AN4" i="1"/>
  <c r="AR4" i="1"/>
  <c r="AT4" i="1"/>
  <c r="AV4" i="1"/>
  <c r="AZ4" i="1"/>
  <c r="BB4" i="1"/>
  <c r="BD4" i="1"/>
  <c r="BF4" i="1"/>
  <c r="BJ4" i="1"/>
  <c r="BN4" i="1"/>
  <c r="BR4" i="1"/>
  <c r="BV4" i="1"/>
  <c r="BZ4" i="1"/>
  <c r="AL5" i="1"/>
  <c r="AN5" i="1"/>
  <c r="AR5" i="1"/>
  <c r="AT5" i="1"/>
  <c r="AV5" i="1"/>
  <c r="AZ5" i="1"/>
  <c r="BB5" i="1"/>
  <c r="BD5" i="1"/>
  <c r="BF5" i="1"/>
  <c r="BJ5" i="1"/>
  <c r="BN5" i="1"/>
  <c r="BR5" i="1"/>
  <c r="BV5" i="1"/>
  <c r="BZ5" i="1"/>
  <c r="AJ4" i="1"/>
  <c r="AJ5" i="1"/>
  <c r="E18" i="1"/>
  <c r="E16" i="1"/>
  <c r="F5" i="1"/>
  <c r="F4" i="1"/>
  <c r="D26" i="1"/>
  <c r="E27" i="1"/>
  <c r="D28" i="1"/>
  <c r="E29" i="1"/>
  <c r="D30" i="1"/>
  <c r="E31" i="1"/>
  <c r="D32" i="1"/>
  <c r="E33" i="1"/>
  <c r="D34" i="1"/>
  <c r="E35" i="1"/>
  <c r="D36" i="1"/>
  <c r="E37" i="1"/>
  <c r="D38" i="1"/>
  <c r="E39" i="1"/>
  <c r="Q5" i="1"/>
  <c r="E102" i="1"/>
  <c r="BB6" i="1" l="1"/>
  <c r="BD6" i="1"/>
  <c r="BN6" i="1"/>
  <c r="BJ6" i="1"/>
  <c r="BF6" i="1"/>
  <c r="AV6" i="1"/>
  <c r="BR6" i="1"/>
  <c r="AZ6" i="1"/>
  <c r="AT6" i="1"/>
  <c r="AR6" i="1"/>
  <c r="BV6" i="1"/>
  <c r="BZ6" i="1"/>
  <c r="AN6" i="1"/>
  <c r="AL6" i="1"/>
  <c r="AJ6" i="1"/>
  <c r="AF4" i="1"/>
  <c r="D45" i="1" l="1"/>
  <c r="E46" i="1"/>
  <c r="D11" i="1" l="1"/>
  <c r="D13" i="1"/>
  <c r="D41" i="1"/>
  <c r="D43" i="1"/>
  <c r="D47" i="1"/>
  <c r="D51" i="1"/>
  <c r="D53" i="1"/>
  <c r="D55" i="1"/>
  <c r="D57" i="1"/>
  <c r="D60" i="1"/>
  <c r="D62" i="1"/>
  <c r="D64" i="1"/>
  <c r="D66" i="1"/>
  <c r="D68" i="1"/>
  <c r="D74" i="1"/>
  <c r="D96" i="1"/>
  <c r="D98" i="1"/>
  <c r="D101" i="1"/>
  <c r="D104" i="1"/>
  <c r="D9" i="1"/>
  <c r="CN92" i="1" s="1"/>
  <c r="CN103" i="1" l="1"/>
  <c r="D106" i="1"/>
  <c r="M5" i="1"/>
  <c r="O5" i="1"/>
  <c r="S5" i="1"/>
  <c r="U5" i="1"/>
  <c r="AB5" i="1"/>
  <c r="AD5" i="1"/>
  <c r="AF5" i="1"/>
  <c r="AF6" i="1" s="1"/>
  <c r="AH5" i="1"/>
  <c r="CD5" i="1"/>
  <c r="M4" i="1"/>
  <c r="O4" i="1"/>
  <c r="Q4" i="1"/>
  <c r="S4" i="1"/>
  <c r="U4" i="1"/>
  <c r="AB4" i="1"/>
  <c r="AD4" i="1"/>
  <c r="AH4" i="1"/>
  <c r="CD4" i="1"/>
  <c r="F6" i="1"/>
  <c r="AD6" i="1" l="1"/>
  <c r="CD6" i="1"/>
  <c r="AH6" i="1"/>
  <c r="AB6" i="1"/>
  <c r="W6" i="1"/>
  <c r="U6" i="1"/>
  <c r="S6" i="1"/>
  <c r="Q6" i="1"/>
  <c r="O6" i="1"/>
  <c r="M6" i="1"/>
  <c r="E105" i="1"/>
  <c r="E99" i="1" l="1"/>
  <c r="E97" i="1"/>
  <c r="E93" i="1"/>
  <c r="E91" i="1"/>
  <c r="E89" i="1"/>
  <c r="E87" i="1"/>
  <c r="E84" i="1"/>
  <c r="E82" i="1"/>
  <c r="E80" i="1"/>
  <c r="E78" i="1"/>
  <c r="E75" i="1"/>
  <c r="E69" i="1"/>
  <c r="E67" i="1"/>
  <c r="E65" i="1"/>
  <c r="E63" i="1"/>
  <c r="E61" i="1"/>
  <c r="E54" i="1"/>
  <c r="E56" i="1"/>
  <c r="E52" i="1"/>
  <c r="E48" i="1"/>
  <c r="E42" i="1"/>
  <c r="E12" i="1"/>
  <c r="E14" i="1"/>
  <c r="E20" i="1"/>
  <c r="E22" i="1"/>
  <c r="E24" i="1"/>
  <c r="E10" i="1"/>
  <c r="E58" i="1" l="1"/>
  <c r="E44" i="1"/>
  <c r="CO93" i="1" s="1"/>
  <c r="E106" i="1" l="1"/>
  <c r="CO104" i="1"/>
  <c r="CN106" i="1" s="1"/>
</calcChain>
</file>

<file path=xl/sharedStrings.xml><?xml version="1.0" encoding="utf-8"?>
<sst xmlns="http://schemas.openxmlformats.org/spreadsheetml/2006/main" count="108" uniqueCount="92">
  <si>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</si>
  <si>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</si>
  <si>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</si>
  <si>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</si>
  <si>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</si>
  <si>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</si>
  <si>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</si>
  <si>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</si>
  <si>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</si>
  <si>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Tages - SOLL</t>
  </si>
  <si>
    <t>Tages  -  IST</t>
  </si>
  <si>
    <t>Projektphasen  - Projektschritte</t>
  </si>
  <si>
    <t>Stunden</t>
  </si>
  <si>
    <t>Soll</t>
  </si>
  <si>
    <t>IST</t>
  </si>
  <si>
    <t>Initialisierung</t>
  </si>
  <si>
    <t>Team bilden, Rollen definieren, Verantwortlichkeiten festhalten</t>
  </si>
  <si>
    <t>Voranalyse</t>
  </si>
  <si>
    <t>Situationsanalyse (IST / SOLL- Zustand)</t>
  </si>
  <si>
    <t>Systemanforderungen / Systemziele festlegen</t>
  </si>
  <si>
    <t xml:space="preserve">Variantenbeschrieb der Lösungen </t>
  </si>
  <si>
    <t>Nutzwertanalyse / Zukunftstauglichkeit</t>
  </si>
  <si>
    <t>Risikoanalyse / Wirtschaftlichkeit</t>
  </si>
  <si>
    <t xml:space="preserve">Datenschutz </t>
  </si>
  <si>
    <t>Abschluss Phase Voranalyse</t>
  </si>
  <si>
    <t>Konzept</t>
  </si>
  <si>
    <t>Anforderungen definieren</t>
  </si>
  <si>
    <t>Lösungskonzept / Game Design</t>
  </si>
  <si>
    <t>Projektmanagementplan (PMP)</t>
  </si>
  <si>
    <t>Change-Management definieren</t>
  </si>
  <si>
    <t>Teststrategie entwerfen</t>
  </si>
  <si>
    <t>Benutzermatrix erstellen</t>
  </si>
  <si>
    <t>Testkonzept erstellen</t>
  </si>
  <si>
    <t>Abschluss Phase Konzept</t>
  </si>
  <si>
    <t>Realisierung</t>
  </si>
  <si>
    <t>Entwicklung gemäss Architektur und Anforderungen</t>
  </si>
  <si>
    <t>Arbeitsaufträge über GitHub Issues (inkl. Akzeptanzkriterien)</t>
  </si>
  <si>
    <t>Projektsteuerung</t>
  </si>
  <si>
    <t>Tests</t>
  </si>
  <si>
    <t>Benutzerhandbuch (Entwurf) und Release-Vorbereitung</t>
  </si>
  <si>
    <t>Zugriffsberechtigungen setzen</t>
  </si>
  <si>
    <t>Testprotokolle</t>
  </si>
  <si>
    <t>Einführung</t>
  </si>
  <si>
    <t>Abnahmetests gegen Anforderungen (inkl. Nachweis)</t>
  </si>
  <si>
    <t>Deployment/Release</t>
  </si>
  <si>
    <t>Abschluss</t>
  </si>
  <si>
    <t>Lektorat der Dokumentation</t>
  </si>
  <si>
    <t>Dokumentation</t>
  </si>
  <si>
    <t>Sitzungsprotokoll Expertenbesuch</t>
  </si>
  <si>
    <t>Arbeitsjournal</t>
  </si>
  <si>
    <t>Termine</t>
  </si>
  <si>
    <t>Expertenbesuch 1 + 2</t>
  </si>
  <si>
    <t>Reserven</t>
  </si>
  <si>
    <t>Projekt : Total Soll</t>
  </si>
  <si>
    <t>h</t>
  </si>
  <si>
    <t>eingeplante Reserven</t>
  </si>
  <si>
    <t>Projekt : Total Ist</t>
  </si>
  <si>
    <t>Totale Arbeitszeit</t>
  </si>
  <si>
    <t>Abweichung</t>
  </si>
  <si>
    <t xml:space="preserve">Projektphasen </t>
  </si>
  <si>
    <t xml:space="preserve">Meilensteine  = </t>
  </si>
  <si>
    <t>Arbeitsplanung Jumpaka: Legends of the Fluff</t>
  </si>
  <si>
    <t>Spielidee auswählen und grobe Zielsetzung</t>
  </si>
  <si>
    <t>Risiken initial erfassen (Technisch, organisatorisch, Zeit)</t>
  </si>
  <si>
    <t>Stakeholder identifizieren</t>
  </si>
  <si>
    <t>GitHub Repo erstellen, Zugriff für Auftragsgeber sicherstellen</t>
  </si>
  <si>
    <t>Kommunikationskanal &amp; Arbeitsweise definieren (Teams, MeetingRhythmus, Entscheidungsprozess)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</si>
  <si>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</si>
  <si>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</si>
  <si>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</si>
  <si>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</si>
  <si>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</si>
  <si>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</si>
  <si>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</si>
  <si>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</si>
  <si>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</si>
  <si>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</si>
  <si>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</si>
  <si>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Tag 21</t>
  </si>
  <si>
    <t>Tag 22</t>
  </si>
  <si>
    <t>Tag 23</t>
  </si>
  <si>
    <t>Tag 24</t>
  </si>
  <si>
    <t>Tag 25</t>
  </si>
  <si>
    <t>Tag 26</t>
  </si>
  <si>
    <t>Tag 27</t>
  </si>
  <si>
    <t>Dokumentation erstellen/Phasenabschluss</t>
  </si>
  <si>
    <t>Lessons Learned</t>
  </si>
  <si>
    <t>Abschlussdokumentation</t>
  </si>
  <si>
    <t>Abschlusspräsentation vorbereiten</t>
  </si>
  <si>
    <t>Abschlusspräsentation finalisieren</t>
  </si>
  <si>
    <t>Aufträge lesen/ definieren</t>
  </si>
  <si>
    <t>Abschlussdokumentation finalisieren / Phasenabschluss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</si>
</sst>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 style="thick">
        <color rgb="FFFF0000"/>
      </left>
      <right/>
      <top/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ck">
        <color theme="0"/>
      </right>
      <top/>
      <bottom style="medium">
        <color theme="0"/>
      </bottom>
      <diagonal/>
    </border>
    <border>
      <left style="double">
        <color theme="0"/>
      </left>
      <right/>
      <top style="medium">
        <color theme="0"/>
      </top>
      <bottom/>
      <diagonal/>
    </border>
    <border>
      <left style="thick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46">
    <xf numFmtId="0" fontId="0" fillId="0" borderId="0" xfId="0"/>
    <xf numFmtId="2" fontId="1" fillId="7" borderId="15" xfId="0" applyNumberFormat="1" applyFont="1" applyFill="1" applyBorder="1" applyAlignment="1">
      <alignment horizontal="center" vertical="center"/>
    </xf>
    <xf numFmtId="2" fontId="1" fillId="7" borderId="16" xfId="0" applyNumberFormat="1" applyFont="1" applyFill="1" applyBorder="1" applyAlignment="1">
      <alignment horizontal="center" vertical="center"/>
    </xf>
    <xf numFmtId="2" fontId="2" fillId="7" borderId="16" xfId="0" applyNumberFormat="1" applyFont="1" applyFill="1" applyBorder="1" applyAlignment="1">
      <alignment horizontal="center" vertical="center"/>
    </xf>
    <xf numFmtId="2" fontId="2" fillId="7" borderId="17" xfId="0" applyNumberFormat="1" applyFont="1" applyFill="1" applyBorder="1" applyAlignment="1">
      <alignment horizontal="center" vertical="center"/>
    </xf>
    <xf numFmtId="2" fontId="2" fillId="7" borderId="19" xfId="0" applyNumberFormat="1" applyFont="1" applyFill="1" applyBorder="1" applyAlignment="1">
      <alignment horizontal="center" vertical="center"/>
    </xf>
    <xf numFmtId="2" fontId="2" fillId="7" borderId="20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3" fillId="7" borderId="19" xfId="0" applyNumberFormat="1" applyFont="1" applyFill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2" fontId="4" fillId="7" borderId="19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2" fontId="2" fillId="7" borderId="21" xfId="0" applyNumberFormat="1" applyFont="1" applyFill="1" applyBorder="1" applyAlignment="1">
      <alignment horizontal="center" vertical="center"/>
    </xf>
    <xf numFmtId="2" fontId="2" fillId="7" borderId="22" xfId="0" applyNumberFormat="1" applyFont="1" applyFill="1" applyBorder="1" applyAlignment="1">
      <alignment horizontal="center" vertical="center"/>
    </xf>
    <xf numFmtId="2" fontId="2" fillId="7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5" borderId="11" xfId="0" applyFont="1" applyFill="1" applyBorder="1" applyAlignment="1">
      <alignment horizontal="center"/>
    </xf>
    <xf numFmtId="0" fontId="6" fillId="5" borderId="11" xfId="0" applyFont="1" applyFill="1" applyBorder="1"/>
    <xf numFmtId="0" fontId="6" fillId="5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5" borderId="0" xfId="0" applyFont="1" applyFill="1"/>
    <xf numFmtId="0" fontId="5" fillId="5" borderId="3" xfId="0" applyFont="1" applyFill="1" applyBorder="1"/>
    <xf numFmtId="2" fontId="7" fillId="5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11" fillId="3" borderId="5" xfId="0" applyNumberFormat="1" applyFont="1" applyFill="1" applyBorder="1"/>
    <xf numFmtId="2" fontId="11" fillId="3" borderId="14" xfId="0" applyNumberFormat="1" applyFont="1" applyFill="1" applyBorder="1"/>
    <xf numFmtId="2" fontId="11" fillId="3" borderId="6" xfId="0" applyNumberFormat="1" applyFont="1" applyFill="1" applyBorder="1"/>
    <xf numFmtId="2" fontId="11" fillId="3" borderId="13" xfId="0" applyNumberFormat="1" applyFont="1" applyFill="1" applyBorder="1"/>
    <xf numFmtId="0" fontId="11" fillId="3" borderId="0" xfId="0" applyFont="1" applyFill="1" applyAlignment="1">
      <alignment vertical="center" wrapText="1"/>
    </xf>
    <xf numFmtId="2" fontId="11" fillId="3" borderId="1" xfId="0" applyNumberFormat="1" applyFont="1" applyFill="1" applyBorder="1"/>
    <xf numFmtId="0" fontId="8" fillId="3" borderId="3" xfId="0" applyFont="1" applyFill="1" applyBorder="1" applyAlignment="1">
      <alignment horizontal="left"/>
    </xf>
    <xf numFmtId="2" fontId="11" fillId="3" borderId="4" xfId="0" applyNumberFormat="1" applyFont="1" applyFill="1" applyBorder="1"/>
    <xf numFmtId="2" fontId="11" fillId="3" borderId="2" xfId="0" applyNumberFormat="1" applyFont="1" applyFill="1" applyBorder="1"/>
    <xf numFmtId="0" fontId="12" fillId="3" borderId="3" xfId="0" applyFont="1" applyFill="1" applyBorder="1" applyAlignment="1">
      <alignment vertical="center" wrapText="1"/>
    </xf>
    <xf numFmtId="2" fontId="13" fillId="2" borderId="12" xfId="0" applyNumberFormat="1" applyFont="1" applyFill="1" applyBorder="1"/>
    <xf numFmtId="2" fontId="14" fillId="2" borderId="11" xfId="0" applyNumberFormat="1" applyFont="1" applyFill="1" applyBorder="1"/>
    <xf numFmtId="0" fontId="14" fillId="2" borderId="10" xfId="0" applyFont="1" applyFill="1" applyBorder="1"/>
    <xf numFmtId="2" fontId="14" fillId="2" borderId="0" xfId="0" applyNumberFormat="1" applyFont="1" applyFill="1"/>
    <xf numFmtId="0" fontId="14" fillId="2" borderId="0" xfId="0" applyFont="1" applyFill="1"/>
    <xf numFmtId="0" fontId="8" fillId="3" borderId="0" xfId="0" applyFont="1" applyFill="1"/>
    <xf numFmtId="2" fontId="11" fillId="3" borderId="28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3" fillId="2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5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6" fillId="0" borderId="0" xfId="0" applyFont="1"/>
    <xf numFmtId="2" fontId="16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29" xfId="0" applyNumberFormat="1" applyFont="1" applyBorder="1"/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4" fillId="0" borderId="7" xfId="0" applyFont="1" applyBorder="1"/>
    <xf numFmtId="0" fontId="1" fillId="0" borderId="7" xfId="0" applyFont="1" applyBorder="1"/>
    <xf numFmtId="0" fontId="2" fillId="0" borderId="7" xfId="0" applyFont="1" applyBorder="1"/>
    <xf numFmtId="2" fontId="9" fillId="7" borderId="18" xfId="0" applyNumberFormat="1" applyFont="1" applyFill="1" applyBorder="1" applyAlignment="1">
      <alignment horizontal="center" vertical="center"/>
    </xf>
    <xf numFmtId="2" fontId="9" fillId="7" borderId="19" xfId="0" applyNumberFormat="1" applyFont="1" applyFill="1" applyBorder="1" applyAlignment="1">
      <alignment horizontal="center" vertical="center"/>
    </xf>
    <xf numFmtId="2" fontId="11" fillId="3" borderId="35" xfId="0" applyNumberFormat="1" applyFont="1" applyFill="1" applyBorder="1"/>
    <xf numFmtId="2" fontId="11" fillId="3" borderId="36" xfId="0" applyNumberFormat="1" applyFont="1" applyFill="1" applyBorder="1"/>
    <xf numFmtId="2" fontId="11" fillId="3" borderId="37" xfId="0" applyNumberFormat="1" applyFont="1" applyFill="1" applyBorder="1"/>
    <xf numFmtId="2" fontId="7" fillId="5" borderId="39" xfId="0" applyNumberFormat="1" applyFont="1" applyFill="1" applyBorder="1" applyAlignment="1">
      <alignment horizontal="center" vertical="center"/>
    </xf>
    <xf numFmtId="2" fontId="2" fillId="7" borderId="40" xfId="0" applyNumberFormat="1" applyFont="1" applyFill="1" applyBorder="1" applyAlignment="1">
      <alignment horizontal="center" vertical="center"/>
    </xf>
    <xf numFmtId="2" fontId="2" fillId="7" borderId="41" xfId="0" applyNumberFormat="1" applyFont="1" applyFill="1" applyBorder="1" applyAlignment="1">
      <alignment horizontal="center" vertical="center"/>
    </xf>
    <xf numFmtId="2" fontId="3" fillId="7" borderId="41" xfId="0" applyNumberFormat="1" applyFont="1" applyFill="1" applyBorder="1" applyAlignment="1">
      <alignment horizontal="center" vertical="center"/>
    </xf>
    <xf numFmtId="2" fontId="4" fillId="7" borderId="41" xfId="0" applyNumberFormat="1" applyFont="1" applyFill="1" applyBorder="1" applyAlignment="1">
      <alignment horizontal="center" vertical="center"/>
    </xf>
    <xf numFmtId="2" fontId="2" fillId="7" borderId="42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/>
    </xf>
    <xf numFmtId="0" fontId="8" fillId="11" borderId="43" xfId="0" applyFont="1" applyFill="1" applyBorder="1" applyAlignment="1">
      <alignment horizontal="left"/>
    </xf>
    <xf numFmtId="1" fontId="5" fillId="5" borderId="12" xfId="0" applyNumberFormat="1" applyFont="1" applyFill="1" applyBorder="1" applyAlignment="1">
      <alignment horizontal="center" vertical="center"/>
    </xf>
    <xf numFmtId="1" fontId="5" fillId="5" borderId="11" xfId="0" applyNumberFormat="1" applyFont="1" applyFill="1" applyBorder="1" applyAlignment="1">
      <alignment horizontal="center" vertical="center"/>
    </xf>
    <xf numFmtId="1" fontId="5" fillId="5" borderId="10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/>
    </xf>
    <xf numFmtId="0" fontId="8" fillId="9" borderId="4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8" fillId="6" borderId="43" xfId="0" applyFont="1" applyFill="1" applyBorder="1" applyAlignment="1">
      <alignment horizontal="left"/>
    </xf>
    <xf numFmtId="0" fontId="10" fillId="3" borderId="3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10" borderId="3" xfId="0" applyFont="1" applyFill="1" applyBorder="1" applyAlignment="1">
      <alignment horizontal="left"/>
    </xf>
    <xf numFmtId="0" fontId="8" fillId="10" borderId="43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2" fontId="7" fillId="4" borderId="9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2" fontId="7" fillId="5" borderId="31" xfId="0" applyNumberFormat="1" applyFont="1" applyFill="1" applyBorder="1" applyAlignment="1">
      <alignment horizontal="center" vertical="center"/>
    </xf>
    <xf numFmtId="2" fontId="7" fillId="5" borderId="32" xfId="0" applyNumberFormat="1" applyFont="1" applyFill="1" applyBorder="1" applyAlignment="1">
      <alignment horizontal="center" vertical="center"/>
    </xf>
    <xf numFmtId="14" fontId="7" fillId="5" borderId="12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2" fontId="7" fillId="8" borderId="9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" fontId="5" fillId="5" borderId="9" xfId="0" applyNumberFormat="1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>
      <alignment horizontal="center" vertical="center"/>
    </xf>
    <xf numFmtId="2" fontId="7" fillId="5" borderId="8" xfId="0" applyNumberFormat="1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27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2" fontId="7" fillId="5" borderId="33" xfId="0" applyNumberFormat="1" applyFont="1" applyFill="1" applyBorder="1" applyAlignment="1">
      <alignment horizontal="center" vertical="center"/>
    </xf>
    <xf numFmtId="14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10" fillId="3" borderId="24" xfId="0" applyFont="1" applyFill="1" applyBorder="1" applyAlignment="1">
      <alignment vertical="center" wrapText="1"/>
    </xf>
    <xf numFmtId="0" fontId="10" fillId="3" borderId="25" xfId="0" applyFont="1" applyFill="1" applyBorder="1" applyAlignment="1">
      <alignment vertical="center" wrapText="1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4" fontId="5" fillId="5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2" fontId="5" fillId="5" borderId="9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vertical="center" wrapText="1"/>
    </xf>
    <xf numFmtId="2" fontId="13" fillId="2" borderId="12" xfId="0" applyNumberFormat="1" applyFont="1" applyFill="1" applyBorder="1" applyAlignment="1">
      <alignment horizontal="center"/>
    </xf>
    <xf numFmtId="2" fontId="13" fillId="2" borderId="11" xfId="0" applyNumberFormat="1" applyFont="1" applyFill="1" applyBorder="1" applyAlignment="1">
      <alignment horizontal="center"/>
    </xf>
    <xf numFmtId="0" fontId="12" fillId="3" borderId="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 wrapText="1"/>
    </xf>
    <xf numFmtId="0" fontId="10" fillId="3" borderId="25" xfId="0" applyFont="1" applyFill="1" applyBorder="1" applyAlignment="1">
      <alignment horizontal="left" vertical="center" wrapText="1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D5EFFF"/>
      <color rgb="FFFFFF99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108</xdr:row>
      <xdr:rowOff>4827</xdr:rowOff>
    </xdr:from>
    <xdr:to>
      <xdr:col>21</xdr:col>
      <xdr:colOff>449035</xdr:colOff>
      <xdr:row>108</xdr:row>
      <xdr:rowOff>244928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78285" y="18224791"/>
          <a:ext cx="9701893" cy="24010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204106</xdr:colOff>
      <xdr:row>108</xdr:row>
      <xdr:rowOff>15363</xdr:rowOff>
    </xdr:from>
    <xdr:to>
      <xdr:col>38</xdr:col>
      <xdr:colOff>285749</xdr:colOff>
      <xdr:row>108</xdr:row>
      <xdr:rowOff>217714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5920356" y="18643542"/>
          <a:ext cx="9443357" cy="20235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108</xdr:row>
      <xdr:rowOff>190500</xdr:rowOff>
    </xdr:from>
    <xdr:to>
      <xdr:col>2</xdr:col>
      <xdr:colOff>1885293</xdr:colOff>
      <xdr:row>338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57</xdr:col>
      <xdr:colOff>217714</xdr:colOff>
      <xdr:row>108</xdr:row>
      <xdr:rowOff>15364</xdr:rowOff>
    </xdr:from>
    <xdr:to>
      <xdr:col>84</xdr:col>
      <xdr:colOff>359018</xdr:colOff>
      <xdr:row>108</xdr:row>
      <xdr:rowOff>204107</xdr:rowOff>
    </xdr:to>
    <xdr:sp macro="" textlink="">
      <xdr:nvSpPr>
        <xdr:cNvPr id="28" name="Eingekerbter Richtungspfei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2263785" y="17854328"/>
          <a:ext cx="15939197" cy="18874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107</xdr:row>
      <xdr:rowOff>39414</xdr:rowOff>
    </xdr:from>
    <xdr:to>
      <xdr:col>2</xdr:col>
      <xdr:colOff>4660353</xdr:colOff>
      <xdr:row>107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21</xdr:col>
      <xdr:colOff>108857</xdr:colOff>
      <xdr:row>22</xdr:row>
      <xdr:rowOff>40819</xdr:rowOff>
    </xdr:from>
    <xdr:to>
      <xdr:col>21</xdr:col>
      <xdr:colOff>462643</xdr:colOff>
      <xdr:row>23</xdr:row>
      <xdr:rowOff>204105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  <a:ext uri="{147F2762-F138-4A5C-976F-8EAC2B608ADB}">
              <a16:predDERef xmlns:a16="http://schemas.microsoft.com/office/drawing/2014/main" pred="{00000000-0008-0000-0000-00001F000000}"/>
            </a:ext>
          </a:extLst>
        </xdr:cNvPr>
        <xdr:cNvSpPr/>
      </xdr:nvSpPr>
      <xdr:spPr>
        <a:xfrm>
          <a:off x="15240000" y="4776105"/>
          <a:ext cx="353786" cy="367393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37</xdr:col>
      <xdr:colOff>326571</xdr:colOff>
      <xdr:row>50</xdr:row>
      <xdr:rowOff>13607</xdr:rowOff>
    </xdr:from>
    <xdr:to>
      <xdr:col>38</xdr:col>
      <xdr:colOff>217714</xdr:colOff>
      <xdr:row>51</xdr:row>
      <xdr:rowOff>176892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4819428" y="7511143"/>
          <a:ext cx="476250" cy="367392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84</xdr:col>
      <xdr:colOff>73026</xdr:colOff>
      <xdr:row>91</xdr:row>
      <xdr:rowOff>1235</xdr:rowOff>
    </xdr:from>
    <xdr:to>
      <xdr:col>84</xdr:col>
      <xdr:colOff>566057</xdr:colOff>
      <xdr:row>92</xdr:row>
      <xdr:rowOff>228600</xdr:rowOff>
    </xdr:to>
    <xdr:sp macro="" textlink="">
      <xdr:nvSpPr>
        <xdr:cNvPr id="37" name="Raut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456569" y="14011149"/>
          <a:ext cx="493031" cy="466851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21</xdr:col>
      <xdr:colOff>489858</xdr:colOff>
      <xdr:row>107</xdr:row>
      <xdr:rowOff>193572</xdr:rowOff>
    </xdr:from>
    <xdr:to>
      <xdr:col>22</xdr:col>
      <xdr:colOff>204107</xdr:colOff>
      <xdr:row>109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5621001" y="18182215"/>
          <a:ext cx="299356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38</xdr:col>
      <xdr:colOff>353786</xdr:colOff>
      <xdr:row>107</xdr:row>
      <xdr:rowOff>187426</xdr:rowOff>
    </xdr:from>
    <xdr:to>
      <xdr:col>39</xdr:col>
      <xdr:colOff>110075</xdr:colOff>
      <xdr:row>109</xdr:row>
      <xdr:rowOff>43756</xdr:rowOff>
    </xdr:to>
    <xdr:sp macro="" textlink="">
      <xdr:nvSpPr>
        <xdr:cNvPr id="42" name="Raut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5431750" y="18584283"/>
          <a:ext cx="341396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84</xdr:col>
      <xdr:colOff>419860</xdr:colOff>
      <xdr:row>107</xdr:row>
      <xdr:rowOff>161556</xdr:rowOff>
    </xdr:from>
    <xdr:to>
      <xdr:col>88</xdr:col>
      <xdr:colOff>175710</xdr:colOff>
      <xdr:row>109</xdr:row>
      <xdr:rowOff>17886</xdr:rowOff>
    </xdr:to>
    <xdr:sp macro="" textlink="">
      <xdr:nvSpPr>
        <xdr:cNvPr id="43" name="Raut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548824" y="15401556"/>
          <a:ext cx="340957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57</xdr:col>
      <xdr:colOff>0</xdr:colOff>
      <xdr:row>107</xdr:row>
      <xdr:rowOff>176892</xdr:rowOff>
    </xdr:from>
    <xdr:to>
      <xdr:col>57</xdr:col>
      <xdr:colOff>205325</xdr:colOff>
      <xdr:row>109</xdr:row>
      <xdr:rowOff>33222</xdr:rowOff>
    </xdr:to>
    <xdr:sp macro="" textlink="">
      <xdr:nvSpPr>
        <xdr:cNvPr id="2" name="Raute 1">
          <a:extLst>
            <a:ext uri="{FF2B5EF4-FFF2-40B4-BE49-F238E27FC236}">
              <a16:creationId xmlns:a16="http://schemas.microsoft.com/office/drawing/2014/main" id="{D0005C9C-E1FA-4356-B91F-B098B2291F87}"/>
            </a:ext>
          </a:extLst>
        </xdr:cNvPr>
        <xdr:cNvSpPr/>
      </xdr:nvSpPr>
      <xdr:spPr>
        <a:xfrm>
          <a:off x="41910000" y="17784535"/>
          <a:ext cx="341396" cy="33258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39</xdr:col>
      <xdr:colOff>136071</xdr:colOff>
      <xdr:row>108</xdr:row>
      <xdr:rowOff>13608</xdr:rowOff>
    </xdr:from>
    <xdr:to>
      <xdr:col>57</xdr:col>
      <xdr:colOff>0</xdr:colOff>
      <xdr:row>109</xdr:row>
      <xdr:rowOff>0</xdr:rowOff>
    </xdr:to>
    <xdr:sp macro="" textlink="">
      <xdr:nvSpPr>
        <xdr:cNvPr id="3" name="Eingekerbter Richtungspfeil 8">
          <a:extLst>
            <a:ext uri="{FF2B5EF4-FFF2-40B4-BE49-F238E27FC236}">
              <a16:creationId xmlns:a16="http://schemas.microsoft.com/office/drawing/2014/main" id="{5D27A449-1151-4A29-8BC1-4CAAD6538F68}"/>
            </a:ext>
          </a:extLst>
        </xdr:cNvPr>
        <xdr:cNvSpPr/>
      </xdr:nvSpPr>
      <xdr:spPr>
        <a:xfrm>
          <a:off x="25799142" y="17852572"/>
          <a:ext cx="16056429" cy="23132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55</xdr:col>
      <xdr:colOff>353785</xdr:colOff>
      <xdr:row>73</xdr:row>
      <xdr:rowOff>27215</xdr:rowOff>
    </xdr:from>
    <xdr:to>
      <xdr:col>56</xdr:col>
      <xdr:colOff>244928</xdr:colOff>
      <xdr:row>74</xdr:row>
      <xdr:rowOff>190500</xdr:rowOff>
    </xdr:to>
    <xdr:sp macro="" textlink="">
      <xdr:nvSpPr>
        <xdr:cNvPr id="6" name="Raute 5">
          <a:extLst>
            <a:ext uri="{FF2B5EF4-FFF2-40B4-BE49-F238E27FC236}">
              <a16:creationId xmlns:a16="http://schemas.microsoft.com/office/drawing/2014/main" id="{7E79E148-1225-4284-B4CF-C86563674897}"/>
            </a:ext>
          </a:extLst>
        </xdr:cNvPr>
        <xdr:cNvSpPr/>
      </xdr:nvSpPr>
      <xdr:spPr>
        <a:xfrm>
          <a:off x="36548785" y="10287001"/>
          <a:ext cx="476250" cy="367392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50</xdr:col>
      <xdr:colOff>13607</xdr:colOff>
      <xdr:row>59</xdr:row>
      <xdr:rowOff>13607</xdr:rowOff>
    </xdr:from>
    <xdr:to>
      <xdr:col>50</xdr:col>
      <xdr:colOff>489857</xdr:colOff>
      <xdr:row>60</xdr:row>
      <xdr:rowOff>176892</xdr:rowOff>
    </xdr:to>
    <xdr:sp macro="" textlink="">
      <xdr:nvSpPr>
        <xdr:cNvPr id="7" name="Raute 6">
          <a:extLst>
            <a:ext uri="{FF2B5EF4-FFF2-40B4-BE49-F238E27FC236}">
              <a16:creationId xmlns:a16="http://schemas.microsoft.com/office/drawing/2014/main" id="{8048258B-C5B8-43D6-AC72-03FA9E820A00}"/>
            </a:ext>
          </a:extLst>
        </xdr:cNvPr>
        <xdr:cNvSpPr/>
      </xdr:nvSpPr>
      <xdr:spPr>
        <a:xfrm>
          <a:off x="32248928" y="8191500"/>
          <a:ext cx="476250" cy="367392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11</xdr:col>
      <xdr:colOff>136072</xdr:colOff>
      <xdr:row>8</xdr:row>
      <xdr:rowOff>0</xdr:rowOff>
    </xdr:from>
    <xdr:to>
      <xdr:col>11</xdr:col>
      <xdr:colOff>489858</xdr:colOff>
      <xdr:row>9</xdr:row>
      <xdr:rowOff>149679</xdr:rowOff>
    </xdr:to>
    <xdr:sp macro="" textlink="">
      <xdr:nvSpPr>
        <xdr:cNvPr id="11" name="Raute 10">
          <a:extLst>
            <a:ext uri="{FF2B5EF4-FFF2-40B4-BE49-F238E27FC236}">
              <a16:creationId xmlns:a16="http://schemas.microsoft.com/office/drawing/2014/main" id="{33C56744-F4B5-4392-8005-8F6A56598350}"/>
            </a:ext>
            <a:ext uri="{147F2762-F138-4A5C-976F-8EAC2B608ADB}">
              <a16:predDERef xmlns:a16="http://schemas.microsoft.com/office/drawing/2014/main" pred="{00000000-0008-0000-0000-00001F000000}"/>
            </a:ext>
          </a:extLst>
        </xdr:cNvPr>
        <xdr:cNvSpPr/>
      </xdr:nvSpPr>
      <xdr:spPr>
        <a:xfrm>
          <a:off x="9552215" y="1728107"/>
          <a:ext cx="353786" cy="367393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26</xdr:col>
      <xdr:colOff>136071</xdr:colOff>
      <xdr:row>41</xdr:row>
      <xdr:rowOff>190499</xdr:rowOff>
    </xdr:from>
    <xdr:to>
      <xdr:col>26</xdr:col>
      <xdr:colOff>489857</xdr:colOff>
      <xdr:row>43</xdr:row>
      <xdr:rowOff>149678</xdr:rowOff>
    </xdr:to>
    <xdr:sp macro="" textlink="">
      <xdr:nvSpPr>
        <xdr:cNvPr id="12" name="Raute 11">
          <a:extLst>
            <a:ext uri="{FF2B5EF4-FFF2-40B4-BE49-F238E27FC236}">
              <a16:creationId xmlns:a16="http://schemas.microsoft.com/office/drawing/2014/main" id="{DD8287FA-D4B6-47C3-9922-4E9330FBD705}"/>
            </a:ext>
            <a:ext uri="{147F2762-F138-4A5C-976F-8EAC2B608ADB}">
              <a16:predDERef xmlns:a16="http://schemas.microsoft.com/office/drawing/2014/main" pred="{00000000-0008-0000-0000-00001F000000}"/>
            </a:ext>
          </a:extLst>
        </xdr:cNvPr>
        <xdr:cNvSpPr/>
      </xdr:nvSpPr>
      <xdr:spPr>
        <a:xfrm>
          <a:off x="18328821" y="5810249"/>
          <a:ext cx="353786" cy="367393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50</xdr:col>
      <xdr:colOff>0</xdr:colOff>
      <xdr:row>65</xdr:row>
      <xdr:rowOff>0</xdr:rowOff>
    </xdr:from>
    <xdr:to>
      <xdr:col>50</xdr:col>
      <xdr:colOff>476250</xdr:colOff>
      <xdr:row>66</xdr:row>
      <xdr:rowOff>163285</xdr:rowOff>
    </xdr:to>
    <xdr:sp macro="" textlink="">
      <xdr:nvSpPr>
        <xdr:cNvPr id="13" name="Raute 12">
          <a:extLst>
            <a:ext uri="{FF2B5EF4-FFF2-40B4-BE49-F238E27FC236}">
              <a16:creationId xmlns:a16="http://schemas.microsoft.com/office/drawing/2014/main" id="{B174A5BA-9812-4D3E-8B9C-354E2581E120}"/>
            </a:ext>
          </a:extLst>
        </xdr:cNvPr>
        <xdr:cNvSpPr/>
      </xdr:nvSpPr>
      <xdr:spPr>
        <a:xfrm>
          <a:off x="32235321" y="9443357"/>
          <a:ext cx="476250" cy="367392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82</xdr:col>
      <xdr:colOff>87086</xdr:colOff>
      <xdr:row>78</xdr:row>
      <xdr:rowOff>21772</xdr:rowOff>
    </xdr:from>
    <xdr:to>
      <xdr:col>82</xdr:col>
      <xdr:colOff>563336</xdr:colOff>
      <xdr:row>79</xdr:row>
      <xdr:rowOff>185057</xdr:rowOff>
    </xdr:to>
    <xdr:sp macro="" textlink="">
      <xdr:nvSpPr>
        <xdr:cNvPr id="14" name="Raute 13">
          <a:extLst>
            <a:ext uri="{FF2B5EF4-FFF2-40B4-BE49-F238E27FC236}">
              <a16:creationId xmlns:a16="http://schemas.microsoft.com/office/drawing/2014/main" id="{998CD032-A77C-4BBF-A1C7-84EBBEC964EC}"/>
            </a:ext>
          </a:extLst>
        </xdr:cNvPr>
        <xdr:cNvSpPr/>
      </xdr:nvSpPr>
      <xdr:spPr>
        <a:xfrm>
          <a:off x="52273200" y="11321143"/>
          <a:ext cx="476250" cy="37011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B339"/>
  <sheetViews>
    <sheetView showGridLines="0" tabSelected="1"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CG85" sqref="CG85"/>
    </sheetView>
  </sheetViews>
  <sheetFormatPr baseColWidth="10" defaultColWidth="11.44140625" defaultRowHeight="13.2" x14ac:dyDescent="0.25"/>
  <cols>
    <col min="1" max="1" width="1.109375" style="63" customWidth="1"/>
    <col min="2" max="2" width="0.88671875" style="62" customWidth="1"/>
    <col min="3" max="3" width="70" style="63" customWidth="1"/>
    <col min="4" max="5" width="8.33203125" style="64" bestFit="1" customWidth="1"/>
    <col min="6" max="6" width="8.5546875" style="63" customWidth="1"/>
    <col min="7" max="85" width="8.6640625" style="63" customWidth="1"/>
    <col min="86" max="86" width="6.88671875" style="66" hidden="1" customWidth="1"/>
    <col min="87" max="87" width="6" style="66" hidden="1" customWidth="1"/>
    <col min="88" max="88" width="4.109375" style="63" hidden="1" customWidth="1"/>
    <col min="89" max="90" width="6.6640625" style="63" customWidth="1"/>
    <col min="91" max="91" width="12.88671875" style="63" customWidth="1"/>
    <col min="92" max="92" width="11.5546875" style="63" bestFit="1" customWidth="1"/>
    <col min="93" max="93" width="9.109375" style="63" customWidth="1"/>
    <col min="94" max="94" width="3.44140625" style="63" customWidth="1"/>
    <col min="95" max="105" width="0" style="63" hidden="1" customWidth="1"/>
    <col min="106" max="16384" width="11.44140625" style="63"/>
  </cols>
  <sheetData>
    <row r="1" spans="2:89" s="15" customFormat="1" ht="16.2" thickBot="1" x14ac:dyDescent="0.3">
      <c r="B1" s="16"/>
      <c r="C1" s="126" t="s">
        <v>61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7"/>
      <c r="CI1" s="17"/>
      <c r="CJ1" s="17"/>
    </row>
    <row r="2" spans="2:89" s="18" customFormat="1" ht="16.8" thickTop="1" thickBot="1" x14ac:dyDescent="0.35">
      <c r="B2" s="19"/>
      <c r="C2" s="20"/>
      <c r="D2" s="21"/>
      <c r="E2" s="22"/>
      <c r="F2" s="118" t="s">
        <v>0</v>
      </c>
      <c r="G2" s="118"/>
      <c r="H2" s="118"/>
      <c r="I2" s="118"/>
      <c r="J2" s="118"/>
      <c r="K2" s="118"/>
      <c r="L2" s="118"/>
      <c r="M2" s="118" t="s">
        <v>1</v>
      </c>
      <c r="N2" s="118"/>
      <c r="O2" s="118" t="s">
        <v>2</v>
      </c>
      <c r="P2" s="118"/>
      <c r="Q2" s="118" t="s">
        <v>3</v>
      </c>
      <c r="R2" s="118"/>
      <c r="S2" s="118" t="s">
        <v>4</v>
      </c>
      <c r="T2" s="118"/>
      <c r="U2" s="118" t="s">
        <v>5</v>
      </c>
      <c r="V2" s="118"/>
      <c r="W2" s="118" t="s">
        <v>6</v>
      </c>
      <c r="X2" s="118"/>
      <c r="Y2" s="118"/>
      <c r="Z2" s="118"/>
      <c r="AA2" s="118"/>
      <c r="AB2" s="118" t="s">
        <v>7</v>
      </c>
      <c r="AC2" s="118"/>
      <c r="AD2" s="139" t="s">
        <v>8</v>
      </c>
      <c r="AE2" s="139"/>
      <c r="AF2" s="135" t="s">
        <v>67</v>
      </c>
      <c r="AG2" s="136"/>
      <c r="AH2" s="118" t="s">
        <v>68</v>
      </c>
      <c r="AI2" s="118"/>
      <c r="AJ2" s="93" t="s">
        <v>69</v>
      </c>
      <c r="AK2" s="94"/>
      <c r="AL2" s="93" t="s">
        <v>70</v>
      </c>
      <c r="AM2" s="94"/>
      <c r="AN2" s="93" t="s">
        <v>71</v>
      </c>
      <c r="AO2" s="94"/>
      <c r="AP2" s="94"/>
      <c r="AQ2" s="95"/>
      <c r="AR2" s="93" t="s">
        <v>72</v>
      </c>
      <c r="AS2" s="95"/>
      <c r="AT2" s="93" t="s">
        <v>73</v>
      </c>
      <c r="AU2" s="95"/>
      <c r="AV2" s="93" t="s">
        <v>74</v>
      </c>
      <c r="AW2" s="94"/>
      <c r="AX2" s="94"/>
      <c r="AY2" s="95"/>
      <c r="AZ2" s="93" t="s">
        <v>75</v>
      </c>
      <c r="BA2" s="95"/>
      <c r="BB2" s="93" t="s">
        <v>76</v>
      </c>
      <c r="BC2" s="94"/>
      <c r="BD2" s="93" t="s">
        <v>77</v>
      </c>
      <c r="BE2" s="94"/>
      <c r="BF2" s="93" t="s">
        <v>78</v>
      </c>
      <c r="BG2" s="94"/>
      <c r="BH2" s="94"/>
      <c r="BI2" s="95"/>
      <c r="BJ2" s="93" t="s">
        <v>79</v>
      </c>
      <c r="BK2" s="94"/>
      <c r="BL2" s="94"/>
      <c r="BM2" s="95"/>
      <c r="BN2" s="93" t="s">
        <v>80</v>
      </c>
      <c r="BO2" s="94"/>
      <c r="BP2" s="94"/>
      <c r="BQ2" s="95"/>
      <c r="BR2" s="93" t="s">
        <v>81</v>
      </c>
      <c r="BS2" s="94"/>
      <c r="BT2" s="94"/>
      <c r="BU2" s="95"/>
      <c r="BV2" s="93" t="s">
        <v>82</v>
      </c>
      <c r="BW2" s="94"/>
      <c r="BX2" s="94"/>
      <c r="BY2" s="95"/>
      <c r="BZ2" s="93" t="s">
        <v>83</v>
      </c>
      <c r="CA2" s="94"/>
      <c r="CB2" s="94"/>
      <c r="CC2" s="95"/>
      <c r="CD2" s="93" t="s">
        <v>84</v>
      </c>
      <c r="CE2" s="94"/>
      <c r="CF2" s="94"/>
      <c r="CG2" s="95"/>
      <c r="CH2" s="23"/>
      <c r="CI2" s="23"/>
      <c r="CK2" s="73"/>
    </row>
    <row r="3" spans="2:89" s="24" customFormat="1" ht="16.8" thickTop="1" thickBot="1" x14ac:dyDescent="0.35">
      <c r="B3" s="25"/>
      <c r="C3" s="20"/>
      <c r="D3" s="21"/>
      <c r="E3" s="22"/>
      <c r="F3" s="128">
        <v>46084</v>
      </c>
      <c r="G3" s="129"/>
      <c r="H3" s="129"/>
      <c r="I3" s="129"/>
      <c r="J3" s="129"/>
      <c r="K3" s="129"/>
      <c r="L3" s="129"/>
      <c r="M3" s="128">
        <v>46085</v>
      </c>
      <c r="N3" s="129"/>
      <c r="O3" s="128">
        <v>46086</v>
      </c>
      <c r="P3" s="129"/>
      <c r="Q3" s="128">
        <v>46087</v>
      </c>
      <c r="R3" s="129"/>
      <c r="S3" s="128">
        <v>46088</v>
      </c>
      <c r="T3" s="129"/>
      <c r="U3" s="128">
        <v>46089</v>
      </c>
      <c r="V3" s="129"/>
      <c r="W3" s="128">
        <v>46090</v>
      </c>
      <c r="X3" s="129"/>
      <c r="Y3" s="129"/>
      <c r="Z3" s="129"/>
      <c r="AA3" s="129"/>
      <c r="AB3" s="128">
        <v>46091</v>
      </c>
      <c r="AC3" s="129"/>
      <c r="AD3" s="128">
        <v>46092</v>
      </c>
      <c r="AE3" s="129"/>
      <c r="AF3" s="128">
        <v>46093</v>
      </c>
      <c r="AG3" s="129"/>
      <c r="AH3" s="128">
        <v>46094</v>
      </c>
      <c r="AI3" s="129"/>
      <c r="AJ3" s="113">
        <v>46095</v>
      </c>
      <c r="AK3" s="114"/>
      <c r="AL3" s="113">
        <v>46096</v>
      </c>
      <c r="AM3" s="114"/>
      <c r="AN3" s="113">
        <v>46097</v>
      </c>
      <c r="AO3" s="114"/>
      <c r="AP3" s="114"/>
      <c r="AQ3" s="115"/>
      <c r="AR3" s="113">
        <v>46098</v>
      </c>
      <c r="AS3" s="115"/>
      <c r="AT3" s="113">
        <v>46099</v>
      </c>
      <c r="AU3" s="115"/>
      <c r="AV3" s="113">
        <v>46100</v>
      </c>
      <c r="AW3" s="114"/>
      <c r="AX3" s="114"/>
      <c r="AY3" s="115"/>
      <c r="AZ3" s="113">
        <v>46101</v>
      </c>
      <c r="BA3" s="115"/>
      <c r="BB3" s="113">
        <v>46102</v>
      </c>
      <c r="BC3" s="114"/>
      <c r="BD3" s="113">
        <v>46103</v>
      </c>
      <c r="BE3" s="114"/>
      <c r="BF3" s="113">
        <v>46104</v>
      </c>
      <c r="BG3" s="114"/>
      <c r="BH3" s="114"/>
      <c r="BI3" s="115"/>
      <c r="BJ3" s="113">
        <v>46105</v>
      </c>
      <c r="BK3" s="114"/>
      <c r="BL3" s="114"/>
      <c r="BM3" s="115"/>
      <c r="BN3" s="113">
        <v>46106</v>
      </c>
      <c r="BO3" s="114"/>
      <c r="BP3" s="114"/>
      <c r="BQ3" s="115"/>
      <c r="BR3" s="113">
        <v>46107</v>
      </c>
      <c r="BS3" s="114"/>
      <c r="BT3" s="114"/>
      <c r="BU3" s="115"/>
      <c r="BV3" s="113">
        <v>46108</v>
      </c>
      <c r="BW3" s="114"/>
      <c r="BX3" s="114"/>
      <c r="BY3" s="115"/>
      <c r="BZ3" s="113">
        <v>46109</v>
      </c>
      <c r="CA3" s="114"/>
      <c r="CB3" s="114"/>
      <c r="CC3" s="115"/>
      <c r="CD3" s="128">
        <v>46110</v>
      </c>
      <c r="CE3" s="129"/>
      <c r="CF3" s="129"/>
      <c r="CG3" s="129"/>
      <c r="CH3" s="26"/>
      <c r="CI3" s="26"/>
      <c r="CK3" s="74"/>
    </row>
    <row r="4" spans="2:89" s="24" customFormat="1" ht="16.8" thickTop="1" thickBot="1" x14ac:dyDescent="0.35">
      <c r="B4" s="25"/>
      <c r="C4" s="137" t="s">
        <v>9</v>
      </c>
      <c r="D4" s="137"/>
      <c r="E4" s="138"/>
      <c r="F4" s="116">
        <f>SUM(F9:L9,F11:L11,F13:L13,F19:L19,F21:L21,F23:L23,F26:L26,F28:L28,F30:L30,F32:L32,F34:L34,F36:L36,F41:L41,F43:L43,F45:L45,F47:L47,F51:L51,F53:L53,F55:L55,F57:L57,F60:L60,F62:L62,F64:L64,F66:L66,F68:L68,F70:L70,F72:L72,F74:L74,F77:L77,F79:L79,F81:L81,F83:L83,F86:L86,F88:L88,F90:L90,F92:L92,F96:L96,F98:L98,F101:L101,F104:L104,F38:L38,F15:L15,F17:L17)</f>
        <v>5</v>
      </c>
      <c r="G4" s="117"/>
      <c r="H4" s="117"/>
      <c r="I4" s="117"/>
      <c r="J4" s="117"/>
      <c r="K4" s="117"/>
      <c r="L4" s="117"/>
      <c r="M4" s="116">
        <f>SUM(M9:N9,M11:N11,M13:N13,M19:N19,M21:N21,M23:N23,M26:N26,M28:N28,M30:N30,M32:N32,M34:N34,M36:N36,M41:N41,M43:N43,M45:N45,M47:N47,M51:N51,M53:N53,M55:N55,M57:N57,M60:N60,M62:N62,M64:N64,M66:N66,M68:N68,M70:N70,M72:N72,M74:N74,M77:N77,M79:N79,M81:N81,M83:N83,M86:N86,M88:N88,M90:N90,M92:N92,M96:N96,M98:N98,M101:N101,M104:N104,M38:N38)</f>
        <v>7</v>
      </c>
      <c r="N4" s="117"/>
      <c r="O4" s="116">
        <f>SUM(O9:P9,O11:P11,O13:P13,O19:P19,O21:P21,O23:P23,O26:P26,O28:P28,O30:P30,O32:P32,O34:P34,O36:P36,O41:P41,O43:P43,O45:P45,O47:P47,O51:P51,O53:P53,O55:P55,O57:P57,O60:P60,O62:P62,O64:P64,O66:P66,O68:P68,O70:P70,O72:P72,O74:P74,O77:P77,O79:P79,O81:P81,O83:P83,O86:P86,O88:P88,O90:P90,O92:P92,O96:P96,O98:P98,O101:P101,O104:P104,O38:P38)</f>
        <v>7</v>
      </c>
      <c r="P4" s="117"/>
      <c r="Q4" s="116">
        <f>SUM(Q9:R9,Q11:R11,Q13:R13,Q19:R19,Q21:R21,Q23:R23,Q26:R26,Q28:R28,Q30:R30,Q32:R32,Q34:R34,Q36:R36,Q41:R41,Q43:R43,Q45:R45,Q47:R47,Q51:R51,Q53:R53,Q55:R55,Q57:R57,Q60:R60,Q62:R62,Q64:R64,Q66:R66,Q68:R68,Q70:R70,Q72:R72,Q74:R74,Q77:R77,Q79:R79,Q81:R81,Q83:R83,Q86:R86,Q88:R88,Q90:R90,Q92:R92,Q96:R96,Q98:R98,Q101:R101,Q104:R104,Q38:R38)</f>
        <v>7</v>
      </c>
      <c r="R4" s="117"/>
      <c r="S4" s="116">
        <f>SUM(S9:T9,S11:T11,S13:T13,S19:T19,S21:T21,S23:T23,S26:T26,S28:T28,S30:T30,S32:T32,S34:T34,S36:T36,S41:T41,S43:T43,S45:T45,S47:T47,S51:T51,S53:T53,S55:T55,S57:T57,S60:T60,S62:T62,S64:T64,S66:T66,S68:T68,S70:T70,S72:T72,S74:T74,S77:T77,S79:T79,S81:T81,S83:T83,S86:T86,S88:T88,S90:T90,S92:T92,S96:T96,S98:T98,S101:T101,S104:T104,S38:T38)</f>
        <v>7</v>
      </c>
      <c r="T4" s="117"/>
      <c r="U4" s="116">
        <f>SUM(U9:V9,U11:V11,U13:V13,U19:V19,U21:V21,U23:V23,U26:V26,U28:V28,U30:V30,U32:V32,U34:V34,U36:V36,U41:V41,U43:V43,U45:V45,U47:V47,U51:V51,U53:V53,U55:V55,U57:V57,U60:V60,U62:V62,U64:V64,U66:V66,U68:V68,U70:V70,U72:V72,U74:V74,U77:V77,U79:V79,U81:V81,U83:V83,U86:V86,U88:V88,U90:V90,U92:V92,U96:V96,U98:V98,U101:V101,U104:V104,U38:V38)</f>
        <v>7</v>
      </c>
      <c r="V4" s="117"/>
      <c r="W4" s="116">
        <f>SUM(W9:AA9,W11:AA11,W13:AA13,W19:AA19,W21:AA21,W23:AA23,W26:AA26,W28:AA28,W30:AA30,W32:AA32,W34:AA34,W36:AA36,W41:AA41,W43:AA43,W45:AA45,W47:AA47,W51:AA51,W53:AA53,W55:AA55,W57:AA57,W60:AA60,W62:AA62,W64:AA64,W66:AA66,W68:AA68,W70:AA70,W72:AA72,W74:AA74,W77:AA77,W79:AA79,W81:AA81,W83:AA83,W86:AA86,W88:AA88,W90:AA90,W92:AA92,W96:AA96,W98:AA98,W101:AA101,W104:AA104,W38:AA38,W49:AA49)</f>
        <v>6</v>
      </c>
      <c r="X4" s="117"/>
      <c r="Y4" s="117"/>
      <c r="Z4" s="117"/>
      <c r="AA4" s="117"/>
      <c r="AB4" s="116">
        <f>SUM(AB9:AC9,AB11:AC11,AB13:AC13,AB19:AC19,AB21:AC21,AB23:AC23,AB26:AC26,AB28:AC28,AB30:AC30,AB32:AC32,AB34:AC34,AB36:AC36,AB41:AC41,AB43:AC43,AB45:AC45,AB47:AC47,AB51:AC51,AB53:AC53,AB55:AC55,AB57:AC57,AB60:AC60,AB62:AC62,AB64:AC64,AB66:AC66,AB68:AC68,AB70:AC70,AB72:AC72,AB74:AC74,AB77:AC77,AB79:AC79,AB81:AC81,AB83:AC83,AB86:AC86,AB88:AC88,AB90:AC90,AB92:AC92,AB96:AC96,AB98:AC98,AB101:AC101,AB104:AC104,AB38:AC38)</f>
        <v>6.8</v>
      </c>
      <c r="AC4" s="117"/>
      <c r="AD4" s="116">
        <f>SUM(AD9:AE9,AD11:AE11,AD13:AE13,AD19:AE19,AD21:AE21,AD23:AE23,AD26:AE26,AD28:AE28,AD30:AE30,AD32:AE32,AD34:AE34,AD36:AE36,AD41:AE41,AD43:AE43,AD45:AE45,AD47:AE47,AD51:AE51,AD53:AE53,AD55:AE55,AD57:AE57,AD60:AE60,AD62:AE62,AD64:AE64,AD66:AE66,AD68:AE68,AD70:AE70,AD72:AE72,AD74:AE74,AD77:AE77,AD79:AE79,AD81:AE81,AD83:AE83,AD86:AE86,AD88:AE88,AD90:AE90,AD92:AE92,AD96:AE96,AD98:AE98,AD101:AE101,AD104:AE104,AD38:AE38)</f>
        <v>6.8</v>
      </c>
      <c r="AE4" s="117"/>
      <c r="AF4" s="116">
        <f>SUM(AF9:AG9,AF11:AG11,AF13:AG13,AF19:AG19,AF21:AG21,AF23:AG23,AF26:AG26,AF28:AG28,AF30:AG30,AF32:AG32,AF34:AG34,AF36:AG36,AF41:AG41,AF43:AG43,AF45:AG45,AF47:AG47,AF51:AG51,AF53:AG53,AF55:AG55,AF57:AG57,AF60:AG60,AF62:AG62,AF64:AG64,AF66:AG66,AF68:AG68,AF70:AG70,AF72:AG72,AF74:AG74,AF77:AG77,AF79:AG79,AF81:AG81,AF83:AG83,AF86:AG86,AF88:AG88,AF90:AG90,AF92:AG92,AF96:AG96,AF98:AG98,AF101:AG101,AF104:AG104,AF38:AG38)</f>
        <v>6.8</v>
      </c>
      <c r="AG4" s="117"/>
      <c r="AH4" s="116">
        <f>SUM(AH9:AI9,AH11:AI11,AH13:AI13,AH19:AI19,AH21:AI21,AH23:AI23,AH26:AI26,AH28:AI28,AH30:AI30,AH32:AI32,AH34:AI34,AH36:AI36,AH41:AI41,AH43:AI43,AH45:AI45,AH47:AI47,AH51:AI51,AH53:AI53,AH55:AI55,AH57:AI57,AH60:AI60,AH62:AI62,AH64:AI64,AH66:AI66,AH68:AI68,AH70:AI70,AH72:AI72,AH74:AI74,AH77:AI77,AH79:AI79,AH81:AI81,AH83:AI83,AH86:AI86,AH88:AI88,AH90:AI90,AH92:AI92,AH96:AI96,AH98:AI98,AH101:AI101,AH104:AI104,AH38:AI38)</f>
        <v>6.8</v>
      </c>
      <c r="AI4" s="117"/>
      <c r="AJ4" s="116">
        <f>SUM(AJ9:AK9,AJ11:AK11,AJ13:AK13,AJ19:AK19,AJ21:AK21,AJ23:AK23,AJ26:AK26,AJ28:AK28,AJ30:AK30,AJ32:AK32,AJ34:AK34,AJ36:AK36,AJ41:AK41,AJ43:AK43,AJ45:AK45,AJ47:AK47,AJ51:AK51,AJ53:AK53,AJ55:AK55,AJ57:AK57,AJ60:AK60,AJ62:AK62,AJ64:AK64,AJ66:AK66,AJ68:AK68,AJ70:AK70,AJ72:AK72,AJ74:AK74,AJ77:AK77,AJ79:AK79,AJ81:AK81,AJ83:AK83,AJ86:AK86,AJ88:AK88,AJ90:AK90,AJ92:AK92,AJ96:AK96,AJ98:AK98,AJ101:AK101,AJ104:AK104,AJ38:AK38)</f>
        <v>6.8</v>
      </c>
      <c r="AK4" s="117"/>
      <c r="AL4" s="116">
        <f>SUM(AL9:AM9,AL11:AM11,AL13:AM13,AL19:AM19,AL21:AM21,AL23:AM23,AL26:AM26,AL28:AM28,AL30:AM30,AL32:AM32,AL34:AM34,AL36:AM36,AL41:AM41,AL43:AM43,AL45:AM45,AL47:AM47,AL51:AM51,AL53:AM53,AL55:AM55,AL57:AM57,AL60:AM60,AL62:AM62,AL64:AM64,AL66:AM66,AL68:AM68,AL70:AM70,AL72:AM72,AL74:AM74,AL77:AM77,AL79:AM79,AL81:AM81,AL83:AM83,AL86:AM86,AL88:AM88,AL90:AM90,AL92:AM92,AL96:AM96,AL98:AM98,AL101:AM101,AL104:AM104,AL38:AM38)</f>
        <v>0</v>
      </c>
      <c r="AM4" s="117"/>
      <c r="AN4" s="116">
        <f>SUM(AN9:AQ9,AN11:AQ11,AN13:AQ13,AN19:AQ19,AN21:AQ21,AN23:AQ23,AN26:AQ26,AN28:AQ28,AN30:AQ30,AN32:AQ32,AN34:AQ34,AN36:AQ36,AN41:AQ41,AN43:AQ43,AN45:AQ45,AN47:AQ47,AN51:AQ51,AN53:AQ53,AN55:AQ55,AN57:AQ57,AN60:AQ60,AN62:AQ62,AN64:AQ64,AN66:AQ66,AN68:AQ68,AN70:AQ70,AN72:AQ72,AN74:AQ74,AN77:AQ77,AN79:AQ79,AN81:AQ81,AN83:AQ83,AN86:AQ86,AN88:AQ88,AN90:AQ90,AN92:AQ92,AN96:AQ96,AN98:AQ98,AN101:AQ101,AN104:AQ104,AN38:AQ38)</f>
        <v>17.5</v>
      </c>
      <c r="AO4" s="117"/>
      <c r="AP4" s="117"/>
      <c r="AQ4" s="117"/>
      <c r="AR4" s="116">
        <f>SUM(AR9:AS9,AR11:AS11,AR13:AS13,AR19:AS19,AR21:AS21,AR23:AS23,AR26:AS26,AR28:AS28,AR30:AS30,AR32:AS32,AR34:AS34,AR36:AS36,AR41:AS41,AR43:AS43,AR45:AS45,AR47:AS47,AR51:AS51,AR53:AS53,AR55:AS55,AR57:AS57,AR60:AS60,AR62:AS62,AR64:AS64,AR66:AS66,AR68:AS68,AR70:AS70,AR72:AS72,AR74:AS74,AR77:AS77,AR79:AS79,AR81:AS81,AR83:AS83,AR86:AS86,AR88:AS88,AR90:AS90,AR92:AS92,AR96:AS96,AR98:AS98,AR101:AS101,AR104:AS104,AR38:AS38)</f>
        <v>15.5</v>
      </c>
      <c r="AS4" s="117"/>
      <c r="AT4" s="116">
        <f>SUM(AT9:AU9,AT11:AU11,AT13:AU13,AT19:AU19,AT21:AU21,AT23:AU23,AT26:AU26,AT28:AU28,AT30:AU30,AT32:AU32,AT34:AU34,AT36:AU36,AT41:AU41,AT43:AU43,AT45:AU45,AT47:AU47,AT51:AU51,AT53:AU53,AT55:AU55,AT57:AU57,AT60:AU60,AT62:AU62,AT64:AU64,AT66:AU66,AT68:AU68,AT70:AU70,AT72:AU72,AT74:AU74,AT77:AU77,AT79:AU79,AT81:AU81,AT83:AU83,AT86:AU86,AT88:AU88,AT90:AU90,AT92:AU92,AT96:AU96,AT98:AU98,AT101:AU101,AT104:AU104,AT38:AU38)</f>
        <v>15.5</v>
      </c>
      <c r="AU4" s="117"/>
      <c r="AV4" s="116">
        <f>SUM(AV9:AY9,AV11:AY11,AV13:AY13,AV19:AY19,AV21:AY21,AV23:AY23,AV26:AY26,AV28:AY28,AV30:AY30,AV32:AY32,AV34:AY34,AV36:AY36,AV41:AY41,AV43:AY43,AV45:AY45,AV47:AY47,AV51:AY51,AV53:AY53,AV55:AY55,AV57:AY57,AV60:AY60,AV62:AY62,AV64:AY64,AV66:AY66,AV68:AY68,AV70:AY70,AV72:AY72,AV74:AY74,AV77:AY77,AV79:AY79,AV81:AY81,AV83:AY83,AV86:AY86,AV88:AY88,AV90:AY90,AV92:AY92,AV96:AY96,AV98:AY98,AV101:AY101,AV104:AY104,AV38:AY38)</f>
        <v>20.5</v>
      </c>
      <c r="AW4" s="117"/>
      <c r="AX4" s="117"/>
      <c r="AY4" s="117"/>
      <c r="AZ4" s="116">
        <f>SUM(AZ9:BA9,AZ11:BA11,AZ13:BA13,AZ19:BA19,AZ21:BA21,AZ23:BA23,AZ26:BA26,AZ28:BA28,AZ30:BA30,AZ32:BA32,AZ34:BA34,AZ36:BA36,AZ41:BA41,AZ43:BA43,AZ45:BA45,AZ47:BA47,AZ51:BA51,AZ53:BA53,AZ55:BA55,AZ57:BA57,AZ60:BA60,AZ62:BA62,AZ64:BA64,AZ66:BA66,AZ68:BA68,AZ70:BA70,AZ72:BA72,AZ74:BA74,AZ77:BA77,AZ79:BA79,AZ81:BA81,AZ83:BA83,AZ86:BA86,AZ88:BA88,AZ90:BA90,AZ92:BA92,AZ96:BA96,AZ98:BA98,AZ101:BA101,AZ104:BA104,AZ38:BA38)</f>
        <v>11</v>
      </c>
      <c r="BA4" s="117"/>
      <c r="BB4" s="116">
        <f>SUM(BB9:BC9,BB11:BC11,BB13:BC13,BB19:BC19,BB21:BC21,BB23:BC23,BB26:BC26,BB28:BC28,BB30:BC30,BB32:BC32,BB34:BC34,BB36:BC36,BB41:BC41,BB43:BC43,BB45:BC45,BB47:BC47,BB51:BC51,BB53:BC53,BB55:BC55,BB57:BC57,BB60:BC60,BB62:BC62,BB64:BC64,BB66:BC66,BB68:BC68,BB70:BC70,BB72:BC72,BB74:BC74,BB77:BC77,BB79:BC79,BB81:BC81,BB83:BC83,BB86:BC86,BB88:BC88,BB90:BC90,BB92:BC92,BB96:BC96,BB98:BC98,BB101:BC101,BB104:BC104,BB38:BC38)</f>
        <v>0</v>
      </c>
      <c r="BC4" s="117"/>
      <c r="BD4" s="116">
        <f>SUM(BD9:BE9,BD11:BE11,BD13:BE13,BD19:BE19,BD21:BE21,BD23:BE23,BD26:BE26,BD28:BE28,BD30:BE30,BD32:BE32,BD34:BE34,BD36:BE36,BD41:BE41,BD43:BE43,BD45:BE45,BD47:BE47,BD51:BE51,BD53:BE53,BD55:BE55,BD57:BE57,BD60:BE60,BD62:BE62,BD64:BE64,BD66:BE66,BD68:BE68,BD70:BE70,BD72:BE72,BD74:BE74,BD77:BE77,BD79:BE79,BD81:BE81,BD83:BE83,BD86:BE86,BD88:BE88,BD90:BE90,BD92:BE92,BD96:BE96,BD98:BE98,BD101:BE101,BD104:BE104,BD38:BE38)</f>
        <v>0</v>
      </c>
      <c r="BE4" s="117"/>
      <c r="BF4" s="116">
        <f>SUM(BF9:BI9,BF11:BI11,BF13:BI13,BF19:BI19,BF21:BI21,BF23:BI23,BF26:BI26,BF28:BI28,BF30:BI30,BF32:BI32,BF34:BI34,BF36:BI36,BF41:BI41,BF43:BI43,BF45:BI45,BF47:BI47,BF51:BI51,BF53:BI53,BF55:BI55,BF57:BI57,BF60:BI60,BF62:BI62,BF64:BI64,BF66:BI66,BF68:BI68,BF70:BI70,BF72:BI72,BF74:BI74,BF77:BI77,BF79:BI79,BF81:BI81,BF83:BI83,BF86:BI86,BF88:BI88,BF90:BI90,BF92:BI92,BF96:BI96,BF98:BI98,BF101:BI101,BF104:BI104,BF38:BI38)</f>
        <v>10</v>
      </c>
      <c r="BG4" s="117"/>
      <c r="BH4" s="117"/>
      <c r="BI4" s="117"/>
      <c r="BJ4" s="116">
        <f>SUM(BJ9:BM9,BJ11:BM11,BJ13:BM13,BJ19:BM19,BJ21:BM21,BJ23:BM23,BJ26:BM26,BJ28:BM28,BJ30:BM30,BJ32:BM32,BJ34:BM34,BJ36:BM36,BJ41:BM41,BJ43:BM43,BJ45:BM45,BJ47:BM47,BJ51:BM51,BJ53:BM53,BJ55:BM55,BJ57:BM57,BJ60:BM60,BJ62:BM62,BJ64:BM64,BJ66:BM66,BJ68:BM68,BJ70:BM70,BJ72:BM72,BJ74:BM74,BJ77:BM77,BJ79:BM79,BJ81:BM81,BJ83:BM83,BJ86:BM86,BJ88:BM88,BJ90:BM90,BJ92:BM92,BJ96:BM96,BJ98:BM98,BJ101:BM101,BJ104:BM104,BJ38:BM38)</f>
        <v>10</v>
      </c>
      <c r="BK4" s="117"/>
      <c r="BL4" s="117"/>
      <c r="BM4" s="117"/>
      <c r="BN4" s="116">
        <f>SUM(BN9:BQ9,BN11:BQ11,BN13:BQ13,BN19:BQ19,BN21:BQ21,BN23:BQ23,BN26:BQ26,BN28:BQ28,BN30:BQ30,BN32:BQ32,BN34:BQ34,BN36:BQ36,BN41:BQ41,BN43:BQ43,BN45:BQ45,BN47:BQ47,BN51:BQ51,BN53:BQ53,BN55:BQ55,BN57:BQ57,BN60:BQ60,BN62:BQ62,BN64:BQ64,BN66:BQ66,BN68:BQ68,BN70:BQ70,BN72:BQ72,BN74:BQ74,BN77:BQ77,BN79:BQ79,BN81:BQ81,BN83:BQ83,BN86:BQ86,BN88:BQ88,BN90:BQ90,BN92:BQ92,BN96:BQ96,BN98:BQ98,BN101:BQ101,BN104:BQ104,BN38:BQ38)</f>
        <v>10</v>
      </c>
      <c r="BO4" s="117"/>
      <c r="BP4" s="117"/>
      <c r="BQ4" s="117"/>
      <c r="BR4" s="116">
        <f>SUM(BR9:BU9,BR11:BU11,BR13:BU13,BR19:BU19,BR21:BU21,BR23:BU23,BR26:BU26,BR28:BU28,BR30:BU30,BR32:BU32,BR34:BU34,BR36:BU36,BR41:BU41,BR43:BU43,BR45:BU45,BR47:BU47,BR51:BU51,BR53:BU53,BR55:BU55,BR57:BU57,BR60:BU60,BR62:BU62,BR64:BU64,BR66:BU66,BR68:BU68,BR70:BU70,BR72:BU72,BR74:BU74,BR77:BU77,BR79:BU79,BR81:BU81,BR83:BU83,BR86:BU86,BR88:BU88,BR90:BU90,BR92:BU92,BR96:BU96,BR98:BU98,BR101:BU101,BR104:BU104,BR38:BU38)</f>
        <v>20</v>
      </c>
      <c r="BS4" s="117"/>
      <c r="BT4" s="117"/>
      <c r="BU4" s="117"/>
      <c r="BV4" s="116">
        <f>SUM(BV9:BY9,BV11:BY11,BV13:BY13,BV19:BY19,BV21:BY21,BV23:BY23,BV26:BY26,BV28:BY28,BV30:BY30,BV32:BY32,BV34:BY34,BV36:BY36,BV41:BY41,BV43:BY43,BV45:BY45,BV47:BY47,BV51:BY51,BV53:BY53,BV55:BY55,BV57:BY57,BV60:BY60,BV62:BY62,BV64:BY64,BV66:BY66,BV68:BY68,BV70:BY70,BV72:BY72,BV74:BY74,BV77:BY77,BV79:BY79,BV81:BY81,BV83:BY83,BV86:BY86,BV88:BY88,BV90:BY90,BV92:BY92,BV96:BY96,BV98:BY98,BV101:BY101,BV104:BY104,BV38:BY38)</f>
        <v>5</v>
      </c>
      <c r="BW4" s="117"/>
      <c r="BX4" s="117"/>
      <c r="BY4" s="117"/>
      <c r="BZ4" s="116">
        <f>SUM(BZ9:CC9,BZ11:CC11,BZ13:CC13,BZ19:CC19,BZ21:CC21,BZ23:CC23,BZ26:CC26,BZ28:CC28,BZ30:CC30,BZ32:CC32,BZ34:CC34,BZ36:CC36,BZ41:CC41,BZ43:CC43,BZ45:CC45,BZ47:CC47,BZ51:CC51,BZ53:CC53,BZ55:CC55,BZ57:CC57,BZ60:CC60,BZ62:CC62,BZ64:CC64,BZ66:CC66,BZ68:CC68,BZ70:CC70,BZ72:CC72,BZ74:CC74,BZ77:CC77,BZ79:CC79,BZ81:CC81,BZ83:CC83,BZ86:CC86,BZ88:CC88,BZ90:CC90,BZ92:CC92,BZ96:CC96,BZ98:CC98,BZ101:CC101,BZ104:CC104,BZ38:CC38)</f>
        <v>11</v>
      </c>
      <c r="CA4" s="117"/>
      <c r="CB4" s="117"/>
      <c r="CC4" s="117"/>
      <c r="CD4" s="116">
        <f>SUM(CD9:CG9,CD11:CG11,CD13:CG13,CD19:CG19,CD21:CG21,CD23:CG23,CD26:CG26,CD28:CG28,CD30:CG30,CD32:CG32,CD34:CG34,CD36:CG36,CD41:CG41,CD43:CG43,CD45:CG45,CD47:CG47,CD51:CG51,CD53:CG53,CD55:CG55,CD57:CG57,CD60:CG60,CD62:CG62,CD64:CG64,CD66:CG66,CD68:CG68,CD70:CG70,CD72:CG72,CD74:CG74,CD77:CG77,CD79:CG79,CD81:CG81,CD83:CG83,CD86:CG86,CD88:CG88,CD90:CG90,CD92:CG92,CD96:CG96,CD98:CG98,CD101:CG101,CD104:CG104,CD38:CG38)</f>
        <v>14</v>
      </c>
      <c r="CE4" s="117"/>
      <c r="CF4" s="117"/>
      <c r="CG4" s="117"/>
      <c r="CH4" s="27"/>
      <c r="CI4" s="26"/>
      <c r="CK4" s="74"/>
    </row>
    <row r="5" spans="2:89" s="24" customFormat="1" ht="16.8" thickTop="1" thickBot="1" x14ac:dyDescent="0.35">
      <c r="B5" s="25"/>
      <c r="C5" s="137" t="s">
        <v>10</v>
      </c>
      <c r="D5" s="137"/>
      <c r="E5" s="138"/>
      <c r="F5" s="109">
        <f>SUM(F10:L10,F12:L12,F14:L14,F20:L20,F22:L22,F24:L24,F27:L27,F29:L29,F31:L31,F33:L33,F35:L35,F39:L39,F42:L42,F44:L44,F46:L46,F48:L48,F52:L52,F54:L54,F56:L56,F58:L58,F61:L61,F63:L63,F65:L65,F67:L67,F69:L69,F71:L71,F73:L73,F75:L75,F78:L78,F80:L80,F82:L82,F84:L84,F87:L87,F89:L89,F91:L91,F93:L93,F97:L97,F99:L99,F102:L102,F105:L105,F37:L37,F16:L16,F18:L18)</f>
        <v>5</v>
      </c>
      <c r="G5" s="110"/>
      <c r="H5" s="110"/>
      <c r="I5" s="110"/>
      <c r="J5" s="110"/>
      <c r="K5" s="110"/>
      <c r="L5" s="110"/>
      <c r="M5" s="109">
        <f>SUM(M10:N10,M12:N12,M14:N14,M20:N20,M22:N22,M24:N24,M27:N27,M29:N29,M31:N31,M33:N33,M35:N35,M39:N39,M42:N42,M44:N44,M46:N46,M48:N48,M52:N52,M54:N54,M56:N56,M58:N58,M61:N61,M63:N63,M65:N65,M67:N67,M69:N69,M71:N71,M73:N73,M75:N75,M78:N78,M80:N80,M82:N82,M84:N84,M87:N87,M89:N89,M91:N91,M93:N93,M97:N97,M99:N99,M102:N102,M105:N105,M37:N37)</f>
        <v>7</v>
      </c>
      <c r="N5" s="110"/>
      <c r="O5" s="109">
        <f>SUM(O10:P10,O12:P12,O14:P14,O20:P20,O22:P22,O24:P24,O27:P27,O29:P29,O31:P31,O33:P33,O35:P35,O39:P39,O42:P42,O44:P44,O46:P46,O48:P48,O52:P52,O54:P54,O56:P56,O58:P58,O61:P61,O63:P63,O65:P65,O67:P67,O69:P69,O71:P71,O73:P73,O75:P75,O78:P78,O80:P80,O82:P82,O84:P84,O87:P87,O89:P89,O91:P91,O93:P93,O97:P97,O99:P99,O102:P102,O105:P105,O37:P37)</f>
        <v>7</v>
      </c>
      <c r="P5" s="110"/>
      <c r="Q5" s="109">
        <f>SUM(Q10:R10,Q12:R12,Q14:R14,Q20:R20,Q22:R22,Q24:R24,Q27:R27,Q29:R29,Q31:R31,Q33:R33,Q35:R35,Q39:R39,Q42:R42,Q44:R44,Q46:R46,Q48:R48,Q52:R52,Q54:R54,Q56:R56,Q58:R58,Q61:R61,Q63:R63,Q65:R65,Q67:R67,Q69:R69,Q71:R71,Q73:R73,Q75:R75,Q78:R78,Q80:R80,Q82:R82,Q84:R84,Q87:R87,Q89:R89,Q91:R91,Q93:R93,Q97:R97,Q99:R99,Q102:R102,Q105:R105,Q37:R37)</f>
        <v>7</v>
      </c>
      <c r="R5" s="110"/>
      <c r="S5" s="109">
        <f>SUM(S10:T10,S12:T12,S14:T14,S20:T20,S22:T22,S24:T24,S27:T27,S29:T29,S31:T31,S33:T33,S35:T35,S39:T39,S42:T42,S44:T44,S46:T46,S48:T48,S52:T52,S54:T54,S56:T56,S58:T58,S61:T61,S63:T63,S65:T65,S67:T67,S69:T69,S71:T71,S73:T73,S75:T75,S78:T78,S80:T80,S82:T82,S84:T84,S87:T87,S89:T89,S91:T91,S93:T93,S97:T97,S99:T99,S102:T102,S105:T105,S37:T37)</f>
        <v>7</v>
      </c>
      <c r="T5" s="110"/>
      <c r="U5" s="109">
        <f>SUM(U10:V10,U12:V12,U14:V14,U20:V20,U22:V22,U24:V24,U27:V27,U29:V29,U31:V31,U33:V33,U35:V35,U39:V39,U42:V42,U44:V44,U46:V46,U48:V48,U52:V52,U54:V54,U56:V56,U58:V58,U61:V61,U63:V63,U65:V65,U67:V67,U69:V69,U71:V71,U73:V73,U75:V75,U78:V78,U80:V80,U82:V82,U84:V84,U87:V87,U89:V89,U91:V91,U93:V93,U97:V97,U99:V99,U102:V102,U105:V105,U37:V37)</f>
        <v>7</v>
      </c>
      <c r="V5" s="110"/>
      <c r="W5" s="109">
        <f>SUM(W10:AA10,W12:AA12,W14:AA14,W20:AA20,W22:AA22,W24:AA24,W27:AA27,W29:AA29,W31:AA31,W33:AA33,W35:AA35,W39:AA39,W42:AA42,W44:AA44,W46:AA46,W48:AA48,W52:AA52,W54:AA54,W56:AA56,W58:AA58,W61:AA61,W63:AA63,W65:AA65,W67:AA67,W69:AA69,W71:AA71,W73:AA73,W75:AA75,W78:AA78,W80:AA80,W82:AA82,W84:AA84,W87:AA87,W89:AA89,W91:AA91,W93:AA93,W97:AA97,W99:AA99,W102:AA102,W105:AA105,W37:AA37,W50:AA50)</f>
        <v>6</v>
      </c>
      <c r="X5" s="110"/>
      <c r="Y5" s="110"/>
      <c r="Z5" s="110"/>
      <c r="AA5" s="110"/>
      <c r="AB5" s="109">
        <f>SUM(AB10:AC10,AB12:AC12,AB14:AC14,AB20:AC20,AB22:AC22,AB24:AC24,AB27:AC27,AB29:AC29,AB31:AC31,AB33:AC33,AB35:AC35,AB39:AC39,AB42:AC42,AB44:AC44,AB46:AC46,AB48:AC48,AB52:AC52,AB54:AC54,AB56:AC56,AB58:AC58,AB61:AC61,AB63:AC63,AB65:AC65,AB67:AC67,AB69:AC69,AB71:AC71,AB73:AC73,AB75:AC75,AB78:AC78,AB80:AC80,AB82:AC82,AB84:AC84,AB87:AC87,AB89:AC89,AB91:AC91,AB93:AC93,AB97:AC97,AB99:AC99,AB102:AC102,AB105:AC105,AB37:AC37)</f>
        <v>6.8</v>
      </c>
      <c r="AC5" s="110"/>
      <c r="AD5" s="109">
        <f>SUM(AD10:AE10,AD12:AE12,AD14:AE14,AD20:AE20,AD22:AE22,AD24:AE24,AD27:AE27,AD29:AE29,AD31:AE31,AD33:AE33,AD35:AE35,AD39:AE39,AD42:AE42,AD44:AE44,AD46:AE46,AD48:AE48,AD52:AE52,AD54:AE54,AD56:AE56,AD58:AE58,AD61:AE61,AD63:AE63,AD65:AE65,AD67:AE67,AD69:AE69,AD71:AE71,AD73:AE73,AD75:AE75,AD78:AE78,AD80:AE80,AD82:AE82,AD84:AE84,AD87:AE87,AD89:AE89,AD91:AE91,AD93:AE93,AD97:AE97,AD99:AE99,AD102:AE102,AD105:AE105,AD37:AE37)</f>
        <v>6.8</v>
      </c>
      <c r="AE5" s="110"/>
      <c r="AF5" s="109">
        <f>SUM(AF10:AG10,AF12:AG12,AF14:AG14,AF20:AG20,AF22:AG22,AF24:AG24,AF27:AG27,AF29:AG29,AF31:AG31,AF33:AG33,AF35:AG35,AF39:AG39,AF42:AG42,AF44:AG44,AF46:AG46,AF48:AG48,AF52:AG52,AF54:AG54,AF56:AG56,AF58:AG58,AF61:AG61,AF63:AG63,AF65:AG65,AF67:AG67,AF69:AG69,AF71:AG71,AF73:AG73,AF75:AG75,AF78:AG78,AF80:AG80,AF82:AG82,AF84:AG84,AF87:AG87,AF89:AG89,AF91:AG91,AF93:AG93,AF97:AG97,AF99:AG99,AF102:AG102,AF105:AG105,AF37:AG37)</f>
        <v>6.8</v>
      </c>
      <c r="AG5" s="110"/>
      <c r="AH5" s="109">
        <f>SUM(AH10:AI10,AH12:AI12,AH14:AI14,AH20:AI20,AH22:AI22,AH24:AI24,AH27:AI27,AH29:AI29,AH31:AI31,AH33:AI33,AH35:AI35,AH39:AI39,AH42:AI42,AH44:AI44,AH46:AI46,AH48:AI48,AH52:AI52,AH54:AI54,AH56:AI56,AH58:AI58,AH61:AI61,AH63:AI63,AH65:AI65,AH67:AI67,AH69:AI69,AH71:AI71,AH73:AI73,AH75:AI75,AH78:AI78,AH80:AI80,AH82:AI82,AH84:AI84,AH87:AI87,AH89:AI89,AH91:AI91,AH93:AI93,AH97:AI97,AH99:AI99,AH102:AI102,AH105:AI105,AH37:AI37)</f>
        <v>6.8</v>
      </c>
      <c r="AI5" s="110"/>
      <c r="AJ5" s="109">
        <f>SUM(AJ10:AK10,AJ12:AK12,AJ14:AK14,AJ20:AK20,AJ22:AK22,AJ24:AK24,AJ27:AK27,AJ29:AK29,AJ31:AK31,AJ33:AK33,AJ35:AK35,AJ39:AK39,AJ42:AK42,AJ44:AK44,AJ46:AK46,AJ48:AK48,AJ52:AK52,AJ54:AK54,AJ56:AK56,AJ58:AK58,AJ61:AK61,AJ63:AK63,AJ65:AK65,AJ67:AK67,AJ69:AK69,AJ71:AK71,AJ73:AK73,AJ75:AK75,AJ78:AK78,AJ80:AK80,AJ82:AK82,AJ84:AK84,AJ87:AK87,AJ89:AK89,AJ91:AK91,AJ93:AK93,AJ97:AK97,AJ99:AK99,AJ102:AK102,AJ105:AK105,AJ37:AK37)</f>
        <v>6.8</v>
      </c>
      <c r="AK5" s="110"/>
      <c r="AL5" s="109">
        <f>SUM(AL10:AM10,AL12:AM12,AL14:AM14,AL20:AM20,AL22:AM22,AL24:AM24,AL27:AM27,AL29:AM29,AL31:AM31,AL33:AM33,AL35:AM35,AL39:AM39,AL42:AM42,AL44:AM44,AL46:AM46,AL48:AM48,AL52:AM52,AL54:AM54,AL56:AM56,AL58:AM58,AL61:AM61,AL63:AM63,AL65:AM65,AL67:AM67,AL69:AM69,AL71:AM71,AL73:AM73,AL75:AM75,AL78:AM78,AL80:AM80,AL82:AM82,AL84:AM84,AL87:AM87,AL89:AM89,AL91:AM91,AL93:AM93,AL97:AM97,AL99:AM99,AL102:AM102,AL105:AM105,AL37:AM37)</f>
        <v>0</v>
      </c>
      <c r="AM5" s="110"/>
      <c r="AN5" s="109">
        <f>SUM(AN10:AQ10,AN12:AQ12,AN14:AQ14,AN20:AQ20,AN22:AQ22,AN24:AQ24,AN27:AQ27,AN29:AQ29,AN31:AQ31,AN33:AQ33,AN35:AQ35,AN39:AQ39,AN42:AQ42,AN44:AQ44,AN46:AQ46,AN48:AQ48,AN52:AQ52,AN54:AQ54,AN56:AQ56,AN58:AQ58,AN61:AQ61,AN63:AQ63,AN65:AQ65,AN67:AQ67,AN69:AQ69,AN71:AQ71,AN73:AQ73,AN75:AQ75,AN78:AQ78,AN80:AQ80,AN82:AQ82,AN84:AQ84,AN87:AQ87,AN89:AQ89,AN91:AQ91,AN93:AQ93,AN97:AQ97,AN99:AQ99,AN102:AQ102,AN105:AQ105,AN37:AQ37)</f>
        <v>16.5</v>
      </c>
      <c r="AO5" s="110"/>
      <c r="AP5" s="110"/>
      <c r="AQ5" s="110"/>
      <c r="AR5" s="109">
        <f>SUM(AR10:AS10,AR12:AS12,AR14:AS14,AR20:AS20,AR22:AS22,AR24:AS24,AR27:AS27,AR29:AS29,AR31:AS31,AR33:AS33,AR35:AS35,AR39:AS39,AR42:AS42,AR44:AS44,AR46:AS46,AR48:AS48,AR52:AS52,AR54:AS54,AR56:AS56,AR58:AS58,AR61:AS61,AR63:AS63,AR65:AS65,AR67:AS67,AR69:AS69,AR71:AS71,AR73:AS73,AR75:AS75,AR78:AS78,AR80:AS80,AR82:AS82,AR84:AS84,AR87:AS87,AR89:AS89,AR91:AS91,AR93:AS93,AR97:AS97,AR99:AS99,AR102:AS102,AR105:AS105,AR37:AS37)</f>
        <v>9.5</v>
      </c>
      <c r="AS5" s="110"/>
      <c r="AT5" s="109">
        <f>SUM(AT10:AU10,AT12:AU12,AT14:AU14,AT20:AU20,AT22:AU22,AT24:AU24,AT27:AU27,AT29:AU29,AT31:AU31,AT33:AU33,AT35:AU35,AT39:AU39,AT42:AU42,AT44:AU44,AT46:AU46,AT48:AU48,AT52:AU52,AT54:AU54,AT56:AU56,AT58:AU58,AT61:AU61,AT63:AU63,AT65:AU65,AT67:AU67,AT69:AU69,AT71:AU71,AT73:AU73,AT75:AU75,AT78:AU78,AT80:AU80,AT82:AU82,AT84:AU84,AT87:AU87,AT89:AU89,AT91:AU91,AT93:AU93,AT97:AU97,AT99:AU99,AT102:AU102,AT105:AU105,AT37:AU37)</f>
        <v>9.5</v>
      </c>
      <c r="AU5" s="110"/>
      <c r="AV5" s="109">
        <f>SUM(AV10:AY10,AV12:AY12,AV14:AY14,AV20:AY20,AV22:AY22,AV24:AY24,AV27:AY27,AV29:AY29,AV31:AY31,AV33:AY33,AV35:AY35,AV39:AY39,AV42:AY42,AV44:AY44,AV46:AY46,AV48:AY48,AV52:AY52,AV54:AY54,AV56:AY56,AV58:AY58,AV61:AY61,AV63:AY63,AV65:AY65,AV67:AY67,AV69:AY69,AV71:AY71,AV73:AY73,AV75:AY75,AV78:AY78,AV80:AY80,AV82:AY82,AV84:AY84,AV87:AY87,AV89:AY89,AV91:AY91,AV93:AY93,AV97:AY97,AV99:AY99,AV102:AY102,AV105:AY105,AV37:AY37)</f>
        <v>14.5</v>
      </c>
      <c r="AW5" s="110"/>
      <c r="AX5" s="110"/>
      <c r="AY5" s="110"/>
      <c r="AZ5" s="109">
        <f>SUM(AZ10:BA10,AZ12:BA12,AZ14:BA14,AZ20:BA20,AZ22:BA22,AZ24:BA24,AZ27:BA27,AZ29:BA29,AZ31:BA31,AZ33:BA33,AZ35:BA35,AZ39:BA39,AZ42:BA42,AZ44:BA44,AZ46:BA46,AZ48:BA48,AZ52:BA52,AZ54:BA54,AZ56:BA56,AZ58:BA58,AZ61:BA61,AZ63:BA63,AZ65:BA65,AZ67:BA67,AZ69:BA69,AZ71:BA71,AZ73:BA73,AZ75:BA75,AZ78:BA78,AZ80:BA80,AZ82:BA82,AZ84:BA84,AZ87:BA87,AZ89:BA89,AZ91:BA91,AZ93:BA93,AZ97:BA97,AZ99:BA99,AZ102:BA102,AZ105:BA105,AZ37:BA37)</f>
        <v>5</v>
      </c>
      <c r="BA5" s="110"/>
      <c r="BB5" s="109">
        <f>SUM(BB10:BC10,BB12:BC12,BB14:BC14,BB20:BC20,BB22:BC22,BB24:BC24,BB27:BC27,BB29:BC29,BB31:BC31,BB33:BC33,BB35:BC35,BB39:BC39,BB42:BC42,BB44:BC44,BB46:BC46,BB48:BC48,BB52:BC52,BB54:BC54,BB56:BC56,BB58:BC58,BB61:BC61,BB63:BC63,BB65:BC65,BB67:BC67,BB69:BC69,BB71:BC71,BB73:BC73,BB75:BC75,BB78:BC78,BB80:BC80,BB82:BC82,BB84:BC84,BB87:BC87,BB89:BC89,BB91:BC91,BB93:BC93,BB97:BC97,BB99:BC99,BB102:BC102,BB105:BC105,BB37:BC37)</f>
        <v>0</v>
      </c>
      <c r="BC5" s="110"/>
      <c r="BD5" s="109">
        <f>SUM(BD10:BE10,BD12:BE12,BD14:BE14,BD20:BE20,BD22:BE22,BD24:BE24,BD27:BE27,BD29:BE29,BD31:BE31,BD33:BE33,BD35:BE35,BD39:BE39,BD42:BE42,BD44:BE44,BD46:BE46,BD48:BE48,BD52:BE52,BD54:BE54,BD56:BE56,BD58:BE58,BD61:BE61,BD63:BE63,BD65:BE65,BD67:BE67,BD69:BE69,BD71:BE71,BD73:BE73,BD75:BE75,BD78:BE78,BD80:BE80,BD82:BE82,BD84:BE84,BD87:BE87,BD89:BE89,BD91:BE91,BD93:BE93,BD97:BE97,BD99:BE99,BD102:BE102,BD105:BE105,BD37:BE37)</f>
        <v>0</v>
      </c>
      <c r="BE5" s="110"/>
      <c r="BF5" s="109">
        <f>SUM(BF10:BI10,BF12:BI12,BF14:BI14,BF20:BI20,BF22:BI22,BF24:BI24,BF27:BI27,BF29:BI29,BF31:BI31,BF33:BI33,BF35:BI35,BF39:BI39,BF42:BI42,BF44:BI44,BF46:BI46,BF48:BI48,BF52:BI52,BF54:BI54,BF56:BI56,BF58:BI58,BF61:BI61,BF63:BI63,BF65:BI65,BF67:BI67,BF69:BI69,BF71:BI71,BF73:BI73,BF75:BI75,BF78:BI78,BF80:BI80,BF82:BI82,BF84:BI84,BF87:BI87,BF89:BI89,BF91:BI91,BF93:BI93,BF97:BI97,BF99:BI99,BF102:BI102,BF105:BI105,BF37:BI37)</f>
        <v>10</v>
      </c>
      <c r="BG5" s="110"/>
      <c r="BH5" s="110"/>
      <c r="BI5" s="110"/>
      <c r="BJ5" s="109">
        <f>SUM(BJ10:BM10,BJ12:BM12,BJ14:BM14,BJ20:BM20,BJ22:BM22,BJ24:BM24,BJ27:BM27,BJ29:BM29,BJ31:BM31,BJ33:BM33,BJ35:BM35,BJ39:BM39,BJ42:BM42,BJ44:BM44,BJ46:BM46,BJ48:BM48,BJ52:BM52,BJ54:BM54,BJ56:BM56,BJ58:BM58,BJ61:BM61,BJ63:BM63,BJ65:BM65,BJ67:BM67,BJ69:BM69,BJ71:BM71,BJ73:BM73,BJ75:BM75,BJ78:BM78,BJ80:BM80,BJ82:BM82,BJ84:BM84,BJ87:BM87,BJ89:BM89,BJ91:BM91,BJ93:BM93,BJ97:BM97,BJ99:BM99,BJ102:BM102,BJ105:BM105,BJ37:BM37)</f>
        <v>10</v>
      </c>
      <c r="BK5" s="110"/>
      <c r="BL5" s="110"/>
      <c r="BM5" s="110"/>
      <c r="BN5" s="109">
        <f>SUM(BN10:BQ10,BN12:BQ12,BN14:BQ14,BN20:BQ20,BN22:BQ22,BN24:BQ24,BN27:BQ27,BN29:BQ29,BN31:BQ31,BN33:BQ33,BN35:BQ35,BN39:BQ39,BN42:BQ42,BN44:BQ44,BN46:BQ46,BN48:BQ48,BN52:BQ52,BN54:BQ54,BN56:BQ56,BN58:BQ58,BN61:BQ61,BN63:BQ63,BN65:BQ65,BN67:BQ67,BN69:BQ69,BN71:BQ71,BN73:BQ73,BN75:BQ75,BN78:BQ78,BN80:BQ80,BN82:BQ82,BN84:BQ84,BN87:BQ87,BN89:BQ89,BN91:BQ91,BN93:BQ93,BN97:BQ97,BN99:BQ99,BN102:BQ102,BN105:BQ105,BN37:BQ37)</f>
        <v>10</v>
      </c>
      <c r="BO5" s="110"/>
      <c r="BP5" s="110"/>
      <c r="BQ5" s="110"/>
      <c r="BR5" s="109">
        <f>SUM(BR10:BU10,BR12:BU12,BR14:BU14,BR20:BU20,BR22:BU22,BR24:BU24,BR27:BU27,BR29:BU29,BR31:BU31,BR33:BU33,BR35:BU35,BR39:BU39,BR42:BU42,BR44:BU44,BR46:BU46,BR48:BU48,BR52:BU52,BR54:BU54,BR56:BU56,BR58:BU58,BR61:BU61,BR63:BU63,BR65:BU65,BR67:BU67,BR69:BU69,BR71:BU71,BR73:BU73,BR75:BU75,BR78:BU78,BR80:BU80,BR82:BU82,BR84:BU84,BR87:BU87,BR89:BU89,BR91:BU91,BR93:BU93,BR97:BU97,BR99:BU99,BR102:BU102,BR105:BU105,BR37:BU37)</f>
        <v>20</v>
      </c>
      <c r="BS5" s="110"/>
      <c r="BT5" s="110"/>
      <c r="BU5" s="110"/>
      <c r="BV5" s="109">
        <f>SUM(BV10:BY10,BV12:BY12,BV14:BY14,BV20:BY20,BV22:BY22,BV24:BY24,BV27:BY27,BV29:BY29,BV31:BY31,BV33:BY33,BV35:BY35,BV39:BY39,BV42:BY42,BV44:BY44,BV46:BY46,BV48:BY48,BV52:BY52,BV54:BY54,BV56:BY56,BV58:BY58,BV61:BY61,BV63:BY63,BV65:BY65,BV67:BY67,BV69:BY69,BV71:BY71,BV73:BY73,BV75:BY75,BV78:BY78,BV80:BY80,BV82:BY82,BV84:BY84,BV87:BY87,BV89:BY89,BV91:BY91,BV93:BY93,BV97:BY97,BV99:BY99,BV102:BY102,BV105:BY105,BV37:BY37)</f>
        <v>5</v>
      </c>
      <c r="BW5" s="110"/>
      <c r="BX5" s="110"/>
      <c r="BY5" s="110"/>
      <c r="BZ5" s="109">
        <f>SUM(BZ10:CC10,BZ12:CC12,BZ14:CC14,BZ20:CC20,BZ22:CC22,BZ24:CC24,BZ27:CC27,BZ29:CC29,BZ31:CC31,BZ33:CC33,BZ35:CC35,BZ39:CC39,BZ42:CC42,BZ44:CC44,BZ46:CC46,BZ48:CC48,BZ52:CC52,BZ54:CC54,BZ56:CC56,BZ58:CC58,BZ61:CC61,BZ63:CC63,BZ65:CC65,BZ67:CC67,BZ69:CC69,BZ71:CC71,BZ73:CC73,BZ75:CC75,BZ78:CC78,BZ80:CC80,BZ82:CC82,BZ84:CC84,BZ87:CC87,BZ89:CC89,BZ91:CC91,BZ93:CC93,BZ97:CC97,BZ99:CC99,BZ102:CC102,BZ105:CC105,BZ37:CC37)</f>
        <v>11</v>
      </c>
      <c r="CA5" s="110"/>
      <c r="CB5" s="110"/>
      <c r="CC5" s="110"/>
      <c r="CD5" s="109">
        <f>SUM(CD10:CG10,CD12:CG12,CD14:CG14,CD20:CG20,CD22:CG22,CD24:CG24,CD27:CG27,CD29:CG29,CD31:CG31,CD33:CG33,CD35:CG35,CD39:CG39,CD42:CG42,CD44:CG44,CD46:CG46,CD48:CG48,CD52:CG52,CD54:CG54,CD56:CG56,CD58:CG58,CD61:CG61,CD63:CG63,CD65:CG65,CD67:CG67,CD69:CG69,CD71:CG71,CD73:CG73,CD75:CG75,CD78:CG78,CD80:CG80,CD82:CG82,CD84:CG84,CD87:CG87,CD89:CG89,CD91:CG91,CD93:CG93,CD97:CG97,CD99:CG99,CD102:CG102,CD105:CG105,CD37:CG37)</f>
        <v>14</v>
      </c>
      <c r="CE5" s="110"/>
      <c r="CF5" s="110"/>
      <c r="CG5" s="110"/>
      <c r="CH5" s="27"/>
      <c r="CI5" s="26"/>
      <c r="CK5" s="74"/>
    </row>
    <row r="6" spans="2:89" s="24" customFormat="1" ht="16.8" thickTop="1" thickBot="1" x14ac:dyDescent="0.35">
      <c r="B6" s="25"/>
      <c r="C6" s="28" t="s">
        <v>11</v>
      </c>
      <c r="D6" s="119" t="s">
        <v>12</v>
      </c>
      <c r="E6" s="120"/>
      <c r="F6" s="111">
        <f>F4-F5</f>
        <v>0</v>
      </c>
      <c r="G6" s="112"/>
      <c r="H6" s="112"/>
      <c r="I6" s="112"/>
      <c r="J6" s="112"/>
      <c r="K6" s="112"/>
      <c r="L6" s="127"/>
      <c r="M6" s="111">
        <f t="shared" ref="M6" si="0">M4-M5</f>
        <v>0</v>
      </c>
      <c r="N6" s="112"/>
      <c r="O6" s="111">
        <f t="shared" ref="O6" si="1">O4-O5</f>
        <v>0</v>
      </c>
      <c r="P6" s="112"/>
      <c r="Q6" s="111">
        <f t="shared" ref="Q6" si="2">Q4-Q5</f>
        <v>0</v>
      </c>
      <c r="R6" s="112"/>
      <c r="S6" s="111">
        <f t="shared" ref="S6" si="3">S4-S5</f>
        <v>0</v>
      </c>
      <c r="T6" s="112"/>
      <c r="U6" s="111">
        <f t="shared" ref="U6" si="4">U4-U5</f>
        <v>0</v>
      </c>
      <c r="V6" s="112"/>
      <c r="W6" s="111">
        <f t="shared" ref="W6" si="5">W4-W5</f>
        <v>0</v>
      </c>
      <c r="X6" s="112"/>
      <c r="Y6" s="112"/>
      <c r="Z6" s="112"/>
      <c r="AA6" s="112"/>
      <c r="AB6" s="111">
        <f t="shared" ref="AB6" si="6">AB4-AB5</f>
        <v>0</v>
      </c>
      <c r="AC6" s="112"/>
      <c r="AD6" s="111">
        <f t="shared" ref="AD6" si="7">AD4-AD5</f>
        <v>0</v>
      </c>
      <c r="AE6" s="112"/>
      <c r="AF6" s="111">
        <f t="shared" ref="AF6" si="8">AF4-AF5</f>
        <v>0</v>
      </c>
      <c r="AG6" s="112"/>
      <c r="AH6" s="111">
        <f t="shared" ref="AH6" si="9">AH4-AH5</f>
        <v>0</v>
      </c>
      <c r="AI6" s="112"/>
      <c r="AJ6" s="111">
        <f t="shared" ref="AJ6" si="10">AJ4-AJ5</f>
        <v>0</v>
      </c>
      <c r="AK6" s="112"/>
      <c r="AL6" s="111">
        <f t="shared" ref="AL6:BZ6" si="11">AL4-AL5</f>
        <v>0</v>
      </c>
      <c r="AM6" s="112"/>
      <c r="AN6" s="111">
        <f t="shared" si="11"/>
        <v>1</v>
      </c>
      <c r="AO6" s="112"/>
      <c r="AP6" s="112"/>
      <c r="AQ6" s="112"/>
      <c r="AR6" s="111">
        <f t="shared" si="11"/>
        <v>6</v>
      </c>
      <c r="AS6" s="112"/>
      <c r="AT6" s="111">
        <f t="shared" si="11"/>
        <v>6</v>
      </c>
      <c r="AU6" s="112"/>
      <c r="AV6" s="111">
        <f t="shared" si="11"/>
        <v>6</v>
      </c>
      <c r="AW6" s="112"/>
      <c r="AX6" s="112"/>
      <c r="AY6" s="112"/>
      <c r="AZ6" s="111">
        <f t="shared" si="11"/>
        <v>6</v>
      </c>
      <c r="BA6" s="112"/>
      <c r="BB6" s="111">
        <f t="shared" si="11"/>
        <v>0</v>
      </c>
      <c r="BC6" s="112"/>
      <c r="BD6" s="111">
        <f t="shared" si="11"/>
        <v>0</v>
      </c>
      <c r="BE6" s="112"/>
      <c r="BF6" s="111">
        <f t="shared" si="11"/>
        <v>0</v>
      </c>
      <c r="BG6" s="112"/>
      <c r="BH6" s="112"/>
      <c r="BI6" s="112"/>
      <c r="BJ6" s="111">
        <f t="shared" si="11"/>
        <v>0</v>
      </c>
      <c r="BK6" s="112"/>
      <c r="BL6" s="112"/>
      <c r="BM6" s="112"/>
      <c r="BN6" s="111">
        <f t="shared" si="11"/>
        <v>0</v>
      </c>
      <c r="BO6" s="112"/>
      <c r="BP6" s="112"/>
      <c r="BQ6" s="112"/>
      <c r="BR6" s="111">
        <f t="shared" si="11"/>
        <v>0</v>
      </c>
      <c r="BS6" s="112"/>
      <c r="BT6" s="112"/>
      <c r="BU6" s="112"/>
      <c r="BV6" s="111">
        <f t="shared" si="11"/>
        <v>0</v>
      </c>
      <c r="BW6" s="112"/>
      <c r="BX6" s="112"/>
      <c r="BY6" s="112"/>
      <c r="BZ6" s="111">
        <f t="shared" si="11"/>
        <v>0</v>
      </c>
      <c r="CA6" s="112"/>
      <c r="CB6" s="112"/>
      <c r="CC6" s="112"/>
      <c r="CD6" s="111">
        <f t="shared" ref="CD6" si="12">CD4-CD5</f>
        <v>0</v>
      </c>
      <c r="CE6" s="112"/>
      <c r="CF6" s="112"/>
      <c r="CG6" s="112"/>
      <c r="CK6" s="74"/>
    </row>
    <row r="7" spans="2:89" s="24" customFormat="1" ht="16.5" customHeight="1" thickBot="1" x14ac:dyDescent="0.35">
      <c r="B7" s="25"/>
      <c r="C7" s="29"/>
      <c r="D7" s="30" t="s">
        <v>13</v>
      </c>
      <c r="E7" s="81" t="s">
        <v>14</v>
      </c>
      <c r="F7" s="121" t="s">
        <v>15</v>
      </c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01" t="s">
        <v>25</v>
      </c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6" t="s">
        <v>34</v>
      </c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90" t="s">
        <v>42</v>
      </c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K7" s="74"/>
    </row>
    <row r="8" spans="2:89" s="15" customFormat="1" ht="18" thickBot="1" x14ac:dyDescent="0.35">
      <c r="B8" s="31"/>
      <c r="C8" s="96" t="s">
        <v>15</v>
      </c>
      <c r="D8" s="96"/>
      <c r="E8" s="97"/>
      <c r="F8" s="1"/>
      <c r="G8" s="2"/>
      <c r="H8" s="3"/>
      <c r="I8" s="82"/>
      <c r="J8" s="82"/>
      <c r="K8" s="82"/>
      <c r="L8" s="4"/>
      <c r="M8" s="1"/>
      <c r="N8" s="2"/>
      <c r="O8" s="1"/>
      <c r="P8" s="2"/>
      <c r="Q8" s="1"/>
      <c r="R8" s="2"/>
      <c r="S8" s="1"/>
      <c r="T8" s="2"/>
      <c r="U8" s="1"/>
      <c r="V8" s="2"/>
      <c r="W8" s="1"/>
      <c r="X8" s="2"/>
      <c r="Y8" s="3"/>
      <c r="Z8" s="82"/>
      <c r="AA8" s="4"/>
      <c r="AB8" s="1"/>
      <c r="AC8" s="2"/>
      <c r="AD8" s="1"/>
      <c r="AE8" s="2"/>
      <c r="AF8" s="1"/>
      <c r="AG8" s="2"/>
      <c r="AH8" s="1"/>
      <c r="AI8" s="2"/>
      <c r="AJ8" s="1"/>
      <c r="AK8" s="2"/>
      <c r="AL8" s="1"/>
      <c r="AM8" s="2"/>
      <c r="AN8" s="1"/>
      <c r="AO8" s="2"/>
      <c r="AP8" s="3"/>
      <c r="AQ8" s="4"/>
      <c r="AR8" s="1"/>
      <c r="AS8" s="4"/>
      <c r="AT8" s="1"/>
      <c r="AU8" s="4"/>
      <c r="AV8" s="1"/>
      <c r="AW8" s="2"/>
      <c r="AX8" s="3"/>
      <c r="AY8" s="4"/>
      <c r="AZ8" s="1"/>
      <c r="BA8" s="4"/>
      <c r="BB8" s="1"/>
      <c r="BC8" s="2"/>
      <c r="BD8" s="1"/>
      <c r="BE8" s="2"/>
      <c r="BF8" s="1"/>
      <c r="BG8" s="2"/>
      <c r="BH8" s="3"/>
      <c r="BI8" s="4"/>
      <c r="BJ8" s="1"/>
      <c r="BK8" s="2"/>
      <c r="BL8" s="3"/>
      <c r="BM8" s="4"/>
      <c r="BN8" s="1"/>
      <c r="BO8" s="2"/>
      <c r="BP8" s="3"/>
      <c r="BQ8" s="4"/>
      <c r="BR8" s="1"/>
      <c r="BS8" s="2"/>
      <c r="BT8" s="3"/>
      <c r="BU8" s="4"/>
      <c r="BV8" s="1"/>
      <c r="BW8" s="2"/>
      <c r="BX8" s="3"/>
      <c r="BY8" s="4"/>
      <c r="BZ8" s="1"/>
      <c r="CA8" s="2"/>
      <c r="CB8" s="3"/>
      <c r="CC8" s="4"/>
      <c r="CD8" s="1"/>
      <c r="CE8" s="2"/>
      <c r="CF8" s="3"/>
      <c r="CG8" s="4"/>
      <c r="CH8" s="32"/>
      <c r="CI8" s="32"/>
    </row>
    <row r="9" spans="2:89" s="15" customFormat="1" ht="17.25" customHeight="1" x14ac:dyDescent="0.3">
      <c r="B9" s="16"/>
      <c r="C9" s="131" t="s">
        <v>90</v>
      </c>
      <c r="D9" s="33">
        <f>SUM(F9:CG9)</f>
        <v>0.5</v>
      </c>
      <c r="E9" s="34"/>
      <c r="F9" s="7">
        <v>0.5</v>
      </c>
      <c r="G9" s="5"/>
      <c r="H9" s="5"/>
      <c r="I9" s="83"/>
      <c r="J9" s="83"/>
      <c r="K9" s="83"/>
      <c r="L9" s="6"/>
      <c r="M9" s="7"/>
      <c r="N9" s="5"/>
      <c r="O9" s="7"/>
      <c r="P9" s="5"/>
      <c r="Q9" s="7"/>
      <c r="R9" s="5"/>
      <c r="S9" s="7"/>
      <c r="T9" s="5"/>
      <c r="U9" s="7"/>
      <c r="V9" s="5"/>
      <c r="W9" s="7"/>
      <c r="X9" s="5"/>
      <c r="Y9" s="5"/>
      <c r="Z9" s="83"/>
      <c r="AA9" s="6"/>
      <c r="AB9" s="7"/>
      <c r="AC9" s="5"/>
      <c r="AD9" s="7"/>
      <c r="AE9" s="5"/>
      <c r="AF9" s="7"/>
      <c r="AG9" s="5"/>
      <c r="AH9" s="7"/>
      <c r="AI9" s="5"/>
      <c r="AJ9" s="7"/>
      <c r="AK9" s="5"/>
      <c r="AL9" s="7"/>
      <c r="AM9" s="5"/>
      <c r="AN9" s="7"/>
      <c r="AO9" s="5"/>
      <c r="AP9" s="5"/>
      <c r="AQ9" s="6"/>
      <c r="AR9" s="7"/>
      <c r="AS9" s="6"/>
      <c r="AT9" s="7"/>
      <c r="AU9" s="6"/>
      <c r="AV9" s="7"/>
      <c r="AW9" s="5"/>
      <c r="AX9" s="5"/>
      <c r="AY9" s="6"/>
      <c r="AZ9" s="7"/>
      <c r="BA9" s="6"/>
      <c r="BB9" s="7"/>
      <c r="BC9" s="5"/>
      <c r="BD9" s="7"/>
      <c r="BE9" s="5"/>
      <c r="BF9" s="7"/>
      <c r="BG9" s="5"/>
      <c r="BH9" s="5"/>
      <c r="BI9" s="6"/>
      <c r="BJ9" s="7"/>
      <c r="BK9" s="5"/>
      <c r="BL9" s="5"/>
      <c r="BM9" s="6"/>
      <c r="BN9" s="7"/>
      <c r="BO9" s="5"/>
      <c r="BP9" s="5"/>
      <c r="BQ9" s="6"/>
      <c r="BR9" s="7"/>
      <c r="BS9" s="5"/>
      <c r="BT9" s="5"/>
      <c r="BU9" s="6"/>
      <c r="BV9" s="7"/>
      <c r="BW9" s="5"/>
      <c r="BX9" s="5"/>
      <c r="BY9" s="6"/>
      <c r="BZ9" s="7"/>
      <c r="CA9" s="5"/>
      <c r="CB9" s="5"/>
      <c r="CC9" s="6"/>
      <c r="CD9" s="7"/>
      <c r="CE9" s="5"/>
      <c r="CF9" s="5"/>
      <c r="CG9" s="6"/>
    </row>
    <row r="10" spans="2:89" s="15" customFormat="1" ht="17.25" customHeight="1" thickBot="1" x14ac:dyDescent="0.35">
      <c r="B10" s="16"/>
      <c r="C10" s="132"/>
      <c r="D10" s="35"/>
      <c r="E10" s="36">
        <f>SUM(F10:CG10)</f>
        <v>0.5</v>
      </c>
      <c r="F10" s="7">
        <v>0.5</v>
      </c>
      <c r="G10" s="5"/>
      <c r="H10" s="5"/>
      <c r="I10" s="83"/>
      <c r="J10" s="83"/>
      <c r="K10" s="83"/>
      <c r="L10" s="6"/>
      <c r="M10" s="7"/>
      <c r="N10" s="5"/>
      <c r="O10" s="7"/>
      <c r="P10" s="5"/>
      <c r="Q10" s="7"/>
      <c r="R10" s="5"/>
      <c r="S10" s="7"/>
      <c r="T10" s="5"/>
      <c r="U10" s="7"/>
      <c r="V10" s="5"/>
      <c r="W10" s="7"/>
      <c r="X10" s="5"/>
      <c r="Y10" s="5"/>
      <c r="Z10" s="83"/>
      <c r="AA10" s="6"/>
      <c r="AB10" s="7"/>
      <c r="AC10" s="5"/>
      <c r="AD10" s="7"/>
      <c r="AE10" s="5"/>
      <c r="AF10" s="7"/>
      <c r="AG10" s="5"/>
      <c r="AH10" s="7"/>
      <c r="AI10" s="5"/>
      <c r="AJ10" s="7"/>
      <c r="AK10" s="5"/>
      <c r="AL10" s="7"/>
      <c r="AM10" s="5"/>
      <c r="AN10" s="7"/>
      <c r="AO10" s="5"/>
      <c r="AP10" s="5"/>
      <c r="AQ10" s="6"/>
      <c r="AR10" s="7"/>
      <c r="AS10" s="6"/>
      <c r="AT10" s="7"/>
      <c r="AU10" s="6"/>
      <c r="AV10" s="7"/>
      <c r="AW10" s="5"/>
      <c r="AX10" s="5"/>
      <c r="AY10" s="6"/>
      <c r="AZ10" s="7"/>
      <c r="BA10" s="6"/>
      <c r="BB10" s="7"/>
      <c r="BC10" s="5"/>
      <c r="BD10" s="7"/>
      <c r="BE10" s="5"/>
      <c r="BF10" s="7"/>
      <c r="BG10" s="5"/>
      <c r="BH10" s="5"/>
      <c r="BI10" s="6"/>
      <c r="BJ10" s="7"/>
      <c r="BK10" s="5"/>
      <c r="BL10" s="5"/>
      <c r="BM10" s="6"/>
      <c r="BN10" s="7"/>
      <c r="BO10" s="5"/>
      <c r="BP10" s="5"/>
      <c r="BQ10" s="6"/>
      <c r="BR10" s="7"/>
      <c r="BS10" s="5"/>
      <c r="BT10" s="5"/>
      <c r="BU10" s="6"/>
      <c r="BV10" s="7"/>
      <c r="BW10" s="5"/>
      <c r="BX10" s="5"/>
      <c r="BY10" s="6"/>
      <c r="BZ10" s="7"/>
      <c r="CA10" s="5"/>
      <c r="CB10" s="5"/>
      <c r="CC10" s="6"/>
      <c r="CD10" s="7"/>
      <c r="CE10" s="5"/>
      <c r="CF10" s="5"/>
      <c r="CG10" s="6"/>
    </row>
    <row r="11" spans="2:89" s="15" customFormat="1" ht="15.75" customHeight="1" x14ac:dyDescent="0.3">
      <c r="B11" s="16"/>
      <c r="C11" s="131" t="s">
        <v>16</v>
      </c>
      <c r="D11" s="33">
        <f>SUM(F11:CG11)</f>
        <v>0.5</v>
      </c>
      <c r="E11" s="34"/>
      <c r="F11" s="7"/>
      <c r="G11" s="5">
        <v>0.5</v>
      </c>
      <c r="H11" s="5"/>
      <c r="I11" s="83"/>
      <c r="J11" s="83"/>
      <c r="K11" s="83"/>
      <c r="L11" s="6"/>
      <c r="M11" s="7"/>
      <c r="N11" s="5"/>
      <c r="O11" s="7"/>
      <c r="P11" s="5"/>
      <c r="Q11" s="7"/>
      <c r="R11" s="5"/>
      <c r="S11" s="7"/>
      <c r="T11" s="5"/>
      <c r="U11" s="7"/>
      <c r="V11" s="5"/>
      <c r="W11" s="7"/>
      <c r="X11" s="5"/>
      <c r="Y11" s="5"/>
      <c r="Z11" s="83"/>
      <c r="AA11" s="6"/>
      <c r="AB11" s="7"/>
      <c r="AC11" s="5"/>
      <c r="AD11" s="7"/>
      <c r="AE11" s="5"/>
      <c r="AF11" s="7"/>
      <c r="AG11" s="5"/>
      <c r="AH11" s="7"/>
      <c r="AI11" s="5"/>
      <c r="AJ11" s="7"/>
      <c r="AK11" s="5"/>
      <c r="AL11" s="7"/>
      <c r="AM11" s="5"/>
      <c r="AN11" s="7"/>
      <c r="AO11" s="5"/>
      <c r="AP11" s="5"/>
      <c r="AQ11" s="6"/>
      <c r="AR11" s="7"/>
      <c r="AS11" s="6"/>
      <c r="AT11" s="7"/>
      <c r="AU11" s="6"/>
      <c r="AV11" s="7"/>
      <c r="AW11" s="5"/>
      <c r="AX11" s="5"/>
      <c r="AY11" s="6"/>
      <c r="AZ11" s="7"/>
      <c r="BA11" s="6"/>
      <c r="BB11" s="7"/>
      <c r="BC11" s="5"/>
      <c r="BD11" s="7"/>
      <c r="BE11" s="5"/>
      <c r="BF11" s="7"/>
      <c r="BG11" s="5"/>
      <c r="BH11" s="5"/>
      <c r="BI11" s="6"/>
      <c r="BJ11" s="7"/>
      <c r="BK11" s="5"/>
      <c r="BL11" s="5"/>
      <c r="BM11" s="6"/>
      <c r="BN11" s="7"/>
      <c r="BO11" s="5"/>
      <c r="BP11" s="5"/>
      <c r="BQ11" s="6"/>
      <c r="BR11" s="7"/>
      <c r="BS11" s="5"/>
      <c r="BT11" s="5"/>
      <c r="BU11" s="6"/>
      <c r="BV11" s="7"/>
      <c r="BW11" s="5"/>
      <c r="BX11" s="5"/>
      <c r="BY11" s="6"/>
      <c r="BZ11" s="7"/>
      <c r="CA11" s="5"/>
      <c r="CB11" s="5"/>
      <c r="CC11" s="6"/>
      <c r="CD11" s="7"/>
      <c r="CE11" s="5"/>
      <c r="CF11" s="5"/>
      <c r="CG11" s="6"/>
    </row>
    <row r="12" spans="2:89" s="15" customFormat="1" ht="16.5" customHeight="1" thickBot="1" x14ac:dyDescent="0.35">
      <c r="B12" s="16"/>
      <c r="C12" s="132"/>
      <c r="D12" s="35"/>
      <c r="E12" s="36">
        <f>SUM(F12:CG12)</f>
        <v>0.5</v>
      </c>
      <c r="F12" s="7"/>
      <c r="G12" s="5">
        <v>0.5</v>
      </c>
      <c r="H12" s="5"/>
      <c r="I12" s="83"/>
      <c r="J12" s="83"/>
      <c r="K12" s="83"/>
      <c r="L12" s="6"/>
      <c r="M12" s="7"/>
      <c r="N12" s="5"/>
      <c r="O12" s="7"/>
      <c r="P12" s="5"/>
      <c r="Q12" s="7"/>
      <c r="R12" s="5"/>
      <c r="S12" s="7"/>
      <c r="T12" s="5"/>
      <c r="U12" s="7"/>
      <c r="V12" s="5"/>
      <c r="W12" s="7"/>
      <c r="X12" s="5"/>
      <c r="Y12" s="5"/>
      <c r="Z12" s="83"/>
      <c r="AA12" s="6"/>
      <c r="AB12" s="7"/>
      <c r="AC12" s="5"/>
      <c r="AD12" s="7"/>
      <c r="AE12" s="5"/>
      <c r="AF12" s="7"/>
      <c r="AG12" s="5"/>
      <c r="AH12" s="7"/>
      <c r="AI12" s="5"/>
      <c r="AJ12" s="7"/>
      <c r="AK12" s="5"/>
      <c r="AL12" s="7"/>
      <c r="AM12" s="5"/>
      <c r="AN12" s="7"/>
      <c r="AO12" s="5"/>
      <c r="AP12" s="5"/>
      <c r="AQ12" s="6"/>
      <c r="AR12" s="7"/>
      <c r="AS12" s="6"/>
      <c r="AT12" s="7"/>
      <c r="AU12" s="6"/>
      <c r="AV12" s="7"/>
      <c r="AW12" s="5"/>
      <c r="AX12" s="5"/>
      <c r="AY12" s="6"/>
      <c r="AZ12" s="7"/>
      <c r="BA12" s="6"/>
      <c r="BB12" s="7"/>
      <c r="BC12" s="5"/>
      <c r="BD12" s="7"/>
      <c r="BE12" s="5"/>
      <c r="BF12" s="7"/>
      <c r="BG12" s="5"/>
      <c r="BH12" s="5"/>
      <c r="BI12" s="6"/>
      <c r="BJ12" s="7"/>
      <c r="BK12" s="5"/>
      <c r="BL12" s="5"/>
      <c r="BM12" s="6"/>
      <c r="BN12" s="7"/>
      <c r="BO12" s="5"/>
      <c r="BP12" s="5"/>
      <c r="BQ12" s="6"/>
      <c r="BR12" s="7"/>
      <c r="BS12" s="5"/>
      <c r="BT12" s="5"/>
      <c r="BU12" s="6"/>
      <c r="BV12" s="7"/>
      <c r="BW12" s="5"/>
      <c r="BX12" s="5"/>
      <c r="BY12" s="6"/>
      <c r="BZ12" s="7"/>
      <c r="CA12" s="5"/>
      <c r="CB12" s="5"/>
      <c r="CC12" s="6"/>
      <c r="CD12" s="7"/>
      <c r="CE12" s="5"/>
      <c r="CF12" s="5"/>
      <c r="CG12" s="6"/>
    </row>
    <row r="13" spans="2:89" s="15" customFormat="1" ht="15.75" customHeight="1" x14ac:dyDescent="0.3">
      <c r="B13" s="16"/>
      <c r="C13" s="131" t="s">
        <v>62</v>
      </c>
      <c r="D13" s="33">
        <f>SUM(F13:CG13)</f>
        <v>0.5</v>
      </c>
      <c r="E13" s="34"/>
      <c r="F13" s="7"/>
      <c r="G13" s="5"/>
      <c r="H13" s="5">
        <v>0.5</v>
      </c>
      <c r="I13" s="83"/>
      <c r="J13" s="83"/>
      <c r="K13" s="83"/>
      <c r="L13" s="6"/>
      <c r="M13" s="7"/>
      <c r="N13" s="5"/>
      <c r="O13" s="7"/>
      <c r="P13" s="5"/>
      <c r="Q13" s="7"/>
      <c r="R13" s="5"/>
      <c r="S13" s="7"/>
      <c r="T13" s="5"/>
      <c r="U13" s="7"/>
      <c r="V13" s="5"/>
      <c r="W13" s="7"/>
      <c r="X13" s="5"/>
      <c r="Y13" s="5"/>
      <c r="Z13" s="83"/>
      <c r="AA13" s="6"/>
      <c r="AB13" s="7"/>
      <c r="AC13" s="5"/>
      <c r="AD13" s="7"/>
      <c r="AE13" s="5"/>
      <c r="AF13" s="7"/>
      <c r="AG13" s="5"/>
      <c r="AH13" s="7"/>
      <c r="AI13" s="5"/>
      <c r="AJ13" s="7"/>
      <c r="AK13" s="5"/>
      <c r="AL13" s="7"/>
      <c r="AM13" s="5"/>
      <c r="AN13" s="7"/>
      <c r="AO13" s="5"/>
      <c r="AP13" s="5"/>
      <c r="AQ13" s="6"/>
      <c r="AR13" s="7"/>
      <c r="AS13" s="6"/>
      <c r="AT13" s="7"/>
      <c r="AU13" s="6"/>
      <c r="AV13" s="7"/>
      <c r="AW13" s="5"/>
      <c r="AX13" s="5"/>
      <c r="AY13" s="6"/>
      <c r="AZ13" s="7"/>
      <c r="BA13" s="6"/>
      <c r="BB13" s="7"/>
      <c r="BC13" s="5"/>
      <c r="BD13" s="7"/>
      <c r="BE13" s="5"/>
      <c r="BF13" s="7"/>
      <c r="BG13" s="5"/>
      <c r="BH13" s="5"/>
      <c r="BI13" s="6"/>
      <c r="BJ13" s="7"/>
      <c r="BK13" s="5"/>
      <c r="BL13" s="5"/>
      <c r="BM13" s="6"/>
      <c r="BN13" s="7"/>
      <c r="BO13" s="5"/>
      <c r="BP13" s="5"/>
      <c r="BQ13" s="6"/>
      <c r="BR13" s="7"/>
      <c r="BS13" s="5"/>
      <c r="BT13" s="5"/>
      <c r="BU13" s="6"/>
      <c r="BV13" s="7"/>
      <c r="BW13" s="5"/>
      <c r="BX13" s="5"/>
      <c r="BY13" s="6"/>
      <c r="BZ13" s="7"/>
      <c r="CA13" s="5"/>
      <c r="CB13" s="5"/>
      <c r="CC13" s="6"/>
      <c r="CD13" s="7"/>
      <c r="CE13" s="5"/>
      <c r="CF13" s="5"/>
      <c r="CG13" s="6"/>
    </row>
    <row r="14" spans="2:89" s="15" customFormat="1" ht="16.5" customHeight="1" thickBot="1" x14ac:dyDescent="0.35">
      <c r="B14" s="16"/>
      <c r="C14" s="132"/>
      <c r="D14" s="35"/>
      <c r="E14" s="36">
        <f>SUM(F14:CG14)</f>
        <v>0.5</v>
      </c>
      <c r="F14" s="7"/>
      <c r="G14" s="5"/>
      <c r="H14" s="5">
        <v>0.5</v>
      </c>
      <c r="I14" s="83"/>
      <c r="J14" s="83"/>
      <c r="K14" s="83"/>
      <c r="L14" s="6"/>
      <c r="M14" s="7"/>
      <c r="N14" s="5"/>
      <c r="O14" s="7"/>
      <c r="P14" s="5"/>
      <c r="Q14" s="7"/>
      <c r="R14" s="5"/>
      <c r="S14" s="7"/>
      <c r="T14" s="5"/>
      <c r="U14" s="7"/>
      <c r="V14" s="5"/>
      <c r="W14" s="7"/>
      <c r="X14" s="5"/>
      <c r="Y14" s="5"/>
      <c r="Z14" s="83"/>
      <c r="AA14" s="6"/>
      <c r="AB14" s="7"/>
      <c r="AC14" s="5"/>
      <c r="AD14" s="7"/>
      <c r="AE14" s="5"/>
      <c r="AF14" s="7"/>
      <c r="AG14" s="5"/>
      <c r="AH14" s="7"/>
      <c r="AI14" s="5"/>
      <c r="AJ14" s="7"/>
      <c r="AK14" s="5"/>
      <c r="AL14" s="7"/>
      <c r="AM14" s="5"/>
      <c r="AN14" s="7"/>
      <c r="AO14" s="5"/>
      <c r="AP14" s="5"/>
      <c r="AQ14" s="6"/>
      <c r="AR14" s="7"/>
      <c r="AS14" s="6"/>
      <c r="AT14" s="7"/>
      <c r="AU14" s="6"/>
      <c r="AV14" s="7"/>
      <c r="AW14" s="5"/>
      <c r="AX14" s="5"/>
      <c r="AY14" s="6"/>
      <c r="AZ14" s="7"/>
      <c r="BA14" s="6"/>
      <c r="BB14" s="7"/>
      <c r="BC14" s="5"/>
      <c r="BD14" s="7"/>
      <c r="BE14" s="5"/>
      <c r="BF14" s="7"/>
      <c r="BG14" s="5"/>
      <c r="BH14" s="5"/>
      <c r="BI14" s="6"/>
      <c r="BJ14" s="7"/>
      <c r="BK14" s="5"/>
      <c r="BL14" s="5"/>
      <c r="BM14" s="6"/>
      <c r="BN14" s="7"/>
      <c r="BO14" s="5"/>
      <c r="BP14" s="5"/>
      <c r="BQ14" s="6"/>
      <c r="BR14" s="7"/>
      <c r="BS14" s="5"/>
      <c r="BT14" s="5"/>
      <c r="BU14" s="6"/>
      <c r="BV14" s="7"/>
      <c r="BW14" s="5"/>
      <c r="BX14" s="5"/>
      <c r="BY14" s="6"/>
      <c r="BZ14" s="7"/>
      <c r="CA14" s="5"/>
      <c r="CB14" s="5"/>
      <c r="CC14" s="6"/>
      <c r="CD14" s="7"/>
      <c r="CE14" s="5"/>
      <c r="CF14" s="5"/>
      <c r="CG14" s="6"/>
    </row>
    <row r="15" spans="2:89" s="15" customFormat="1" ht="15.6" x14ac:dyDescent="0.3">
      <c r="B15" s="16"/>
      <c r="C15" s="144" t="s">
        <v>64</v>
      </c>
      <c r="D15" s="78">
        <v>1</v>
      </c>
      <c r="E15" s="79"/>
      <c r="F15" s="7"/>
      <c r="G15" s="5"/>
      <c r="H15" s="5"/>
      <c r="I15" s="83">
        <v>1</v>
      </c>
      <c r="J15" s="83"/>
      <c r="K15" s="83"/>
      <c r="L15" s="6"/>
      <c r="M15" s="7"/>
      <c r="N15" s="5"/>
      <c r="O15" s="7"/>
      <c r="P15" s="5"/>
      <c r="Q15" s="7"/>
      <c r="R15" s="5"/>
      <c r="S15" s="7"/>
      <c r="T15" s="5"/>
      <c r="U15" s="7"/>
      <c r="V15" s="5"/>
      <c r="W15" s="7"/>
      <c r="X15" s="5"/>
      <c r="Y15" s="5"/>
      <c r="Z15" s="83"/>
      <c r="AA15" s="6"/>
      <c r="AB15" s="7"/>
      <c r="AC15" s="5"/>
      <c r="AD15" s="7"/>
      <c r="AE15" s="5"/>
      <c r="AF15" s="7"/>
      <c r="AG15" s="5"/>
      <c r="AH15" s="7"/>
      <c r="AI15" s="5"/>
      <c r="AJ15" s="7"/>
      <c r="AK15" s="5"/>
      <c r="AL15" s="7"/>
      <c r="AM15" s="5"/>
      <c r="AN15" s="7"/>
      <c r="AO15" s="5"/>
      <c r="AP15" s="5"/>
      <c r="AQ15" s="6"/>
      <c r="AR15" s="7"/>
      <c r="AS15" s="6"/>
      <c r="AT15" s="7"/>
      <c r="AU15" s="6"/>
      <c r="AV15" s="7"/>
      <c r="AW15" s="5"/>
      <c r="AX15" s="5"/>
      <c r="AY15" s="6"/>
      <c r="AZ15" s="7"/>
      <c r="BA15" s="6"/>
      <c r="BB15" s="7"/>
      <c r="BC15" s="5"/>
      <c r="BD15" s="7"/>
      <c r="BE15" s="5"/>
      <c r="BF15" s="7"/>
      <c r="BG15" s="5"/>
      <c r="BH15" s="5"/>
      <c r="BI15" s="6"/>
      <c r="BJ15" s="7"/>
      <c r="BK15" s="5"/>
      <c r="BL15" s="5"/>
      <c r="BM15" s="6"/>
      <c r="BN15" s="7"/>
      <c r="BO15" s="5"/>
      <c r="BP15" s="5"/>
      <c r="BQ15" s="6"/>
      <c r="BR15" s="7"/>
      <c r="BS15" s="5"/>
      <c r="BT15" s="5"/>
      <c r="BU15" s="6"/>
      <c r="BV15" s="7"/>
      <c r="BW15" s="5"/>
      <c r="BX15" s="5"/>
      <c r="BY15" s="6"/>
      <c r="BZ15" s="7"/>
      <c r="CA15" s="5"/>
      <c r="CB15" s="5"/>
      <c r="CC15" s="6"/>
      <c r="CD15" s="7"/>
      <c r="CE15" s="5"/>
      <c r="CF15" s="5"/>
      <c r="CG15" s="6"/>
    </row>
    <row r="16" spans="2:89" s="15" customFormat="1" ht="16.5" customHeight="1" thickBot="1" x14ac:dyDescent="0.35">
      <c r="B16" s="16"/>
      <c r="C16" s="145"/>
      <c r="D16" s="35"/>
      <c r="E16" s="80">
        <f>SUM(F16:CG16)</f>
        <v>1</v>
      </c>
      <c r="F16" s="7"/>
      <c r="G16" s="5"/>
      <c r="H16" s="5"/>
      <c r="I16" s="83">
        <v>1</v>
      </c>
      <c r="J16" s="83"/>
      <c r="K16" s="83"/>
      <c r="L16" s="6"/>
      <c r="M16" s="7"/>
      <c r="N16" s="5"/>
      <c r="O16" s="7"/>
      <c r="P16" s="5"/>
      <c r="Q16" s="7"/>
      <c r="R16" s="5"/>
      <c r="S16" s="7"/>
      <c r="T16" s="5"/>
      <c r="U16" s="7"/>
      <c r="V16" s="5"/>
      <c r="W16" s="7"/>
      <c r="X16" s="5"/>
      <c r="Y16" s="5"/>
      <c r="Z16" s="83"/>
      <c r="AA16" s="6"/>
      <c r="AB16" s="7"/>
      <c r="AC16" s="5"/>
      <c r="AD16" s="7"/>
      <c r="AE16" s="5"/>
      <c r="AF16" s="7"/>
      <c r="AG16" s="5"/>
      <c r="AH16" s="7"/>
      <c r="AI16" s="5"/>
      <c r="AJ16" s="7"/>
      <c r="AK16" s="5"/>
      <c r="AL16" s="7"/>
      <c r="AM16" s="5"/>
      <c r="AN16" s="7"/>
      <c r="AO16" s="5"/>
      <c r="AP16" s="5"/>
      <c r="AQ16" s="6"/>
      <c r="AR16" s="7"/>
      <c r="AS16" s="6"/>
      <c r="AT16" s="7"/>
      <c r="AU16" s="6"/>
      <c r="AV16" s="7"/>
      <c r="AW16" s="5"/>
      <c r="AX16" s="5"/>
      <c r="AY16" s="6"/>
      <c r="AZ16" s="7"/>
      <c r="BA16" s="6"/>
      <c r="BB16" s="7"/>
      <c r="BC16" s="5"/>
      <c r="BD16" s="7"/>
      <c r="BE16" s="5"/>
      <c r="BF16" s="7"/>
      <c r="BG16" s="5"/>
      <c r="BH16" s="5"/>
      <c r="BI16" s="6"/>
      <c r="BJ16" s="7"/>
      <c r="BK16" s="5"/>
      <c r="BL16" s="5"/>
      <c r="BM16" s="6"/>
      <c r="BN16" s="7"/>
      <c r="BO16" s="5"/>
      <c r="BP16" s="5"/>
      <c r="BQ16" s="6"/>
      <c r="BR16" s="7"/>
      <c r="BS16" s="5"/>
      <c r="BT16" s="5"/>
      <c r="BU16" s="6"/>
      <c r="BV16" s="7"/>
      <c r="BW16" s="5"/>
      <c r="BX16" s="5"/>
      <c r="BY16" s="6"/>
      <c r="BZ16" s="7"/>
      <c r="CA16" s="5"/>
      <c r="CB16" s="5"/>
      <c r="CC16" s="6"/>
      <c r="CD16" s="7"/>
      <c r="CE16" s="5"/>
      <c r="CF16" s="5"/>
      <c r="CG16" s="6"/>
    </row>
    <row r="17" spans="2:85" s="15" customFormat="1" ht="18.75" customHeight="1" x14ac:dyDescent="0.3">
      <c r="B17" s="16"/>
      <c r="C17" s="144" t="s">
        <v>63</v>
      </c>
      <c r="D17" s="78">
        <v>1.5</v>
      </c>
      <c r="E17" s="79"/>
      <c r="F17" s="7"/>
      <c r="G17" s="5"/>
      <c r="H17" s="5"/>
      <c r="I17" s="83"/>
      <c r="J17" s="83">
        <v>1.5</v>
      </c>
      <c r="K17" s="83"/>
      <c r="L17" s="6"/>
      <c r="M17" s="7"/>
      <c r="N17" s="5"/>
      <c r="O17" s="7"/>
      <c r="P17" s="5"/>
      <c r="Q17" s="7"/>
      <c r="R17" s="5"/>
      <c r="S17" s="7"/>
      <c r="T17" s="5"/>
      <c r="U17" s="7"/>
      <c r="V17" s="5"/>
      <c r="W17" s="7"/>
      <c r="X17" s="5"/>
      <c r="Y17" s="5"/>
      <c r="Z17" s="83"/>
      <c r="AA17" s="6"/>
      <c r="AB17" s="7"/>
      <c r="AC17" s="5"/>
      <c r="AD17" s="7"/>
      <c r="AE17" s="5"/>
      <c r="AF17" s="7"/>
      <c r="AG17" s="5"/>
      <c r="AH17" s="7"/>
      <c r="AI17" s="5"/>
      <c r="AJ17" s="7"/>
      <c r="AK17" s="5"/>
      <c r="AL17" s="7"/>
      <c r="AM17" s="5"/>
      <c r="AN17" s="7"/>
      <c r="AO17" s="5"/>
      <c r="AP17" s="5"/>
      <c r="AQ17" s="6"/>
      <c r="AR17" s="7"/>
      <c r="AS17" s="6"/>
      <c r="AT17" s="7"/>
      <c r="AU17" s="6"/>
      <c r="AV17" s="7"/>
      <c r="AW17" s="5"/>
      <c r="AX17" s="5"/>
      <c r="AY17" s="6"/>
      <c r="AZ17" s="7"/>
      <c r="BA17" s="6"/>
      <c r="BB17" s="7"/>
      <c r="BC17" s="5"/>
      <c r="BD17" s="7"/>
      <c r="BE17" s="5"/>
      <c r="BF17" s="7"/>
      <c r="BG17" s="5"/>
      <c r="BH17" s="5"/>
      <c r="BI17" s="6"/>
      <c r="BJ17" s="7"/>
      <c r="BK17" s="5"/>
      <c r="BL17" s="5"/>
      <c r="BM17" s="6"/>
      <c r="BN17" s="7"/>
      <c r="BO17" s="5"/>
      <c r="BP17" s="5"/>
      <c r="BQ17" s="6"/>
      <c r="BR17" s="7"/>
      <c r="BS17" s="5"/>
      <c r="BT17" s="5"/>
      <c r="BU17" s="6"/>
      <c r="BV17" s="7"/>
      <c r="BW17" s="5"/>
      <c r="BX17" s="5"/>
      <c r="BY17" s="6"/>
      <c r="BZ17" s="7"/>
      <c r="CA17" s="5"/>
      <c r="CB17" s="5"/>
      <c r="CC17" s="6"/>
      <c r="CD17" s="7"/>
      <c r="CE17" s="5"/>
      <c r="CF17" s="5"/>
      <c r="CG17" s="6"/>
    </row>
    <row r="18" spans="2:85" s="15" customFormat="1" ht="16.5" customHeight="1" thickBot="1" x14ac:dyDescent="0.35">
      <c r="B18" s="16"/>
      <c r="C18" s="145"/>
      <c r="D18" s="78"/>
      <c r="E18" s="79">
        <f>SUM(F18:CG18)</f>
        <v>1.5</v>
      </c>
      <c r="F18" s="7"/>
      <c r="G18" s="5"/>
      <c r="H18" s="5"/>
      <c r="I18" s="83"/>
      <c r="J18" s="83">
        <v>1.5</v>
      </c>
      <c r="K18" s="83"/>
      <c r="L18" s="6"/>
      <c r="M18" s="7"/>
      <c r="N18" s="5"/>
      <c r="O18" s="7"/>
      <c r="P18" s="5"/>
      <c r="Q18" s="7"/>
      <c r="R18" s="5"/>
      <c r="S18" s="7"/>
      <c r="T18" s="5"/>
      <c r="U18" s="7"/>
      <c r="V18" s="5"/>
      <c r="W18" s="7"/>
      <c r="X18" s="5"/>
      <c r="Y18" s="5"/>
      <c r="Z18" s="83"/>
      <c r="AA18" s="6"/>
      <c r="AB18" s="7"/>
      <c r="AC18" s="5"/>
      <c r="AD18" s="7"/>
      <c r="AE18" s="5"/>
      <c r="AF18" s="7"/>
      <c r="AG18" s="5"/>
      <c r="AH18" s="7"/>
      <c r="AI18" s="5"/>
      <c r="AJ18" s="7"/>
      <c r="AK18" s="5"/>
      <c r="AL18" s="7"/>
      <c r="AM18" s="5"/>
      <c r="AN18" s="7"/>
      <c r="AO18" s="5"/>
      <c r="AP18" s="5"/>
      <c r="AQ18" s="6"/>
      <c r="AR18" s="7"/>
      <c r="AS18" s="6"/>
      <c r="AT18" s="7"/>
      <c r="AU18" s="6"/>
      <c r="AV18" s="7"/>
      <c r="AW18" s="5"/>
      <c r="AX18" s="5"/>
      <c r="AY18" s="6"/>
      <c r="AZ18" s="7"/>
      <c r="BA18" s="6"/>
      <c r="BB18" s="7"/>
      <c r="BC18" s="5"/>
      <c r="BD18" s="7"/>
      <c r="BE18" s="5"/>
      <c r="BF18" s="7"/>
      <c r="BG18" s="5"/>
      <c r="BH18" s="5"/>
      <c r="BI18" s="6"/>
      <c r="BJ18" s="7"/>
      <c r="BK18" s="5"/>
      <c r="BL18" s="5"/>
      <c r="BM18" s="6"/>
      <c r="BN18" s="7"/>
      <c r="BO18" s="5"/>
      <c r="BP18" s="5"/>
      <c r="BQ18" s="6"/>
      <c r="BR18" s="7"/>
      <c r="BS18" s="5"/>
      <c r="BT18" s="5"/>
      <c r="BU18" s="6"/>
      <c r="BV18" s="7"/>
      <c r="BW18" s="5"/>
      <c r="BX18" s="5"/>
      <c r="BY18" s="6"/>
      <c r="BZ18" s="7"/>
      <c r="CA18" s="5"/>
      <c r="CB18" s="5"/>
      <c r="CC18" s="6"/>
      <c r="CD18" s="7"/>
      <c r="CE18" s="5"/>
      <c r="CF18" s="5"/>
      <c r="CG18" s="6"/>
    </row>
    <row r="19" spans="2:85" s="15" customFormat="1" ht="16.5" customHeight="1" x14ac:dyDescent="0.3">
      <c r="B19" s="16"/>
      <c r="C19" s="131" t="s">
        <v>65</v>
      </c>
      <c r="D19" s="33">
        <v>0.5</v>
      </c>
      <c r="E19" s="34"/>
      <c r="F19" s="7"/>
      <c r="G19" s="5"/>
      <c r="H19" s="8"/>
      <c r="I19" s="84"/>
      <c r="J19" s="84"/>
      <c r="K19" s="84">
        <v>0.5</v>
      </c>
      <c r="L19" s="6"/>
      <c r="M19" s="7"/>
      <c r="N19" s="5"/>
      <c r="O19" s="7"/>
      <c r="P19" s="5"/>
      <c r="Q19" s="7"/>
      <c r="R19" s="5"/>
      <c r="S19" s="7"/>
      <c r="T19" s="5"/>
      <c r="U19" s="7"/>
      <c r="V19" s="5"/>
      <c r="W19" s="7"/>
      <c r="X19" s="5"/>
      <c r="Y19" s="8"/>
      <c r="Z19" s="84"/>
      <c r="AA19" s="6"/>
      <c r="AB19" s="7"/>
      <c r="AC19" s="5"/>
      <c r="AD19" s="7"/>
      <c r="AE19" s="5"/>
      <c r="AF19" s="7"/>
      <c r="AG19" s="5"/>
      <c r="AH19" s="7"/>
      <c r="AI19" s="5"/>
      <c r="AJ19" s="7"/>
      <c r="AK19" s="5"/>
      <c r="AL19" s="7"/>
      <c r="AM19" s="5"/>
      <c r="AN19" s="7"/>
      <c r="AO19" s="5"/>
      <c r="AP19" s="8"/>
      <c r="AQ19" s="6"/>
      <c r="AR19" s="7"/>
      <c r="AS19" s="6"/>
      <c r="AT19" s="7"/>
      <c r="AU19" s="6"/>
      <c r="AV19" s="7"/>
      <c r="AW19" s="5"/>
      <c r="AX19" s="8"/>
      <c r="AY19" s="6"/>
      <c r="AZ19" s="7"/>
      <c r="BA19" s="6"/>
      <c r="BB19" s="7"/>
      <c r="BC19" s="5"/>
      <c r="BD19" s="7"/>
      <c r="BE19" s="5"/>
      <c r="BF19" s="7"/>
      <c r="BG19" s="5"/>
      <c r="BH19" s="8"/>
      <c r="BI19" s="6"/>
      <c r="BJ19" s="7"/>
      <c r="BK19" s="5"/>
      <c r="BL19" s="8"/>
      <c r="BM19" s="6"/>
      <c r="BN19" s="7"/>
      <c r="BO19" s="5"/>
      <c r="BP19" s="8"/>
      <c r="BQ19" s="6"/>
      <c r="BR19" s="7"/>
      <c r="BS19" s="5"/>
      <c r="BT19" s="8"/>
      <c r="BU19" s="6"/>
      <c r="BV19" s="7"/>
      <c r="BW19" s="5"/>
      <c r="BX19" s="8"/>
      <c r="BY19" s="6"/>
      <c r="BZ19" s="7"/>
      <c r="CA19" s="5"/>
      <c r="CB19" s="8"/>
      <c r="CC19" s="6"/>
      <c r="CD19" s="7"/>
      <c r="CE19" s="5"/>
      <c r="CF19" s="8"/>
      <c r="CG19" s="6"/>
    </row>
    <row r="20" spans="2:85" s="15" customFormat="1" ht="18.75" customHeight="1" thickBot="1" x14ac:dyDescent="0.35">
      <c r="B20" s="16"/>
      <c r="C20" s="132"/>
      <c r="D20" s="35"/>
      <c r="E20" s="36">
        <f>SUM(F20:CG20)</f>
        <v>0.5</v>
      </c>
      <c r="F20" s="7"/>
      <c r="G20" s="5"/>
      <c r="H20" s="5"/>
      <c r="I20" s="83"/>
      <c r="J20" s="83"/>
      <c r="K20" s="83">
        <v>0.5</v>
      </c>
      <c r="L20" s="6"/>
      <c r="M20" s="7"/>
      <c r="N20" s="5"/>
      <c r="O20" s="7"/>
      <c r="P20" s="5"/>
      <c r="Q20" s="7"/>
      <c r="R20" s="5"/>
      <c r="S20" s="7"/>
      <c r="T20" s="5"/>
      <c r="U20" s="7"/>
      <c r="V20" s="5"/>
      <c r="W20" s="7"/>
      <c r="X20" s="5"/>
      <c r="Y20" s="5"/>
      <c r="Z20" s="83"/>
      <c r="AA20" s="6"/>
      <c r="AB20" s="7"/>
      <c r="AC20" s="5"/>
      <c r="AD20" s="7"/>
      <c r="AE20" s="5"/>
      <c r="AF20" s="7"/>
      <c r="AG20" s="5"/>
      <c r="AH20" s="7"/>
      <c r="AI20" s="5"/>
      <c r="AJ20" s="7"/>
      <c r="AK20" s="5"/>
      <c r="AL20" s="7"/>
      <c r="AM20" s="5"/>
      <c r="AN20" s="7"/>
      <c r="AO20" s="5"/>
      <c r="AP20" s="5"/>
      <c r="AQ20" s="6"/>
      <c r="AR20" s="7"/>
      <c r="AS20" s="6"/>
      <c r="AT20" s="7"/>
      <c r="AU20" s="6"/>
      <c r="AV20" s="7"/>
      <c r="AW20" s="5"/>
      <c r="AX20" s="5"/>
      <c r="AY20" s="6"/>
      <c r="AZ20" s="7"/>
      <c r="BA20" s="6"/>
      <c r="BB20" s="7"/>
      <c r="BC20" s="5"/>
      <c r="BD20" s="7"/>
      <c r="BE20" s="5"/>
      <c r="BF20" s="7"/>
      <c r="BG20" s="5"/>
      <c r="BH20" s="5"/>
      <c r="BI20" s="6"/>
      <c r="BJ20" s="7"/>
      <c r="BK20" s="5"/>
      <c r="BL20" s="5"/>
      <c r="BM20" s="6"/>
      <c r="BN20" s="7"/>
      <c r="BO20" s="5"/>
      <c r="BP20" s="5"/>
      <c r="BQ20" s="6"/>
      <c r="BR20" s="7"/>
      <c r="BS20" s="5"/>
      <c r="BT20" s="5"/>
      <c r="BU20" s="6"/>
      <c r="BV20" s="7"/>
      <c r="BW20" s="5"/>
      <c r="BX20" s="5"/>
      <c r="BY20" s="6"/>
      <c r="BZ20" s="7"/>
      <c r="CA20" s="5"/>
      <c r="CB20" s="5"/>
      <c r="CC20" s="6"/>
      <c r="CD20" s="7"/>
      <c r="CE20" s="5"/>
      <c r="CF20" s="5"/>
      <c r="CG20" s="6"/>
    </row>
    <row r="21" spans="2:85" s="15" customFormat="1" ht="16.5" customHeight="1" x14ac:dyDescent="0.3">
      <c r="B21" s="16"/>
      <c r="C21" s="131" t="s">
        <v>66</v>
      </c>
      <c r="D21" s="33">
        <v>0.5</v>
      </c>
      <c r="E21" s="34"/>
      <c r="F21" s="7"/>
      <c r="G21" s="5"/>
      <c r="H21" s="5"/>
      <c r="I21" s="83"/>
      <c r="J21" s="83"/>
      <c r="K21" s="83"/>
      <c r="L21" s="6">
        <v>0.5</v>
      </c>
      <c r="M21" s="7"/>
      <c r="N21" s="5"/>
      <c r="O21" s="7"/>
      <c r="P21" s="5"/>
      <c r="Q21" s="7"/>
      <c r="R21" s="5"/>
      <c r="S21" s="7"/>
      <c r="T21" s="5"/>
      <c r="U21" s="7"/>
      <c r="V21" s="5"/>
      <c r="W21" s="7"/>
      <c r="X21" s="5"/>
      <c r="Y21" s="5"/>
      <c r="Z21" s="83"/>
      <c r="AA21" s="6"/>
      <c r="AB21" s="7"/>
      <c r="AC21" s="5"/>
      <c r="AD21" s="7"/>
      <c r="AE21" s="5"/>
      <c r="AF21" s="7"/>
      <c r="AG21" s="5"/>
      <c r="AH21" s="7"/>
      <c r="AI21" s="5"/>
      <c r="AJ21" s="7"/>
      <c r="AK21" s="5"/>
      <c r="AL21" s="7"/>
      <c r="AM21" s="5"/>
      <c r="AN21" s="7"/>
      <c r="AO21" s="5"/>
      <c r="AP21" s="5"/>
      <c r="AQ21" s="6"/>
      <c r="AR21" s="7"/>
      <c r="AS21" s="6"/>
      <c r="AT21" s="7"/>
      <c r="AU21" s="6"/>
      <c r="AV21" s="7"/>
      <c r="AW21" s="5"/>
      <c r="AX21" s="5"/>
      <c r="AY21" s="6"/>
      <c r="AZ21" s="7"/>
      <c r="BA21" s="6"/>
      <c r="BB21" s="7"/>
      <c r="BC21" s="5"/>
      <c r="BD21" s="7"/>
      <c r="BE21" s="5"/>
      <c r="BF21" s="7"/>
      <c r="BG21" s="5"/>
      <c r="BH21" s="5"/>
      <c r="BI21" s="6"/>
      <c r="BJ21" s="7"/>
      <c r="BK21" s="5"/>
      <c r="BL21" s="5"/>
      <c r="BM21" s="6"/>
      <c r="BN21" s="7"/>
      <c r="BO21" s="5"/>
      <c r="BP21" s="5"/>
      <c r="BQ21" s="6"/>
      <c r="BR21" s="7"/>
      <c r="BS21" s="5"/>
      <c r="BT21" s="5"/>
      <c r="BU21" s="6"/>
      <c r="BV21" s="7"/>
      <c r="BW21" s="5"/>
      <c r="BX21" s="5"/>
      <c r="BY21" s="6"/>
      <c r="BZ21" s="7"/>
      <c r="CA21" s="5"/>
      <c r="CB21" s="5"/>
      <c r="CC21" s="6"/>
      <c r="CD21" s="7"/>
      <c r="CE21" s="5"/>
      <c r="CF21" s="5"/>
      <c r="CG21" s="6"/>
    </row>
    <row r="22" spans="2:85" s="15" customFormat="1" ht="19.5" customHeight="1" thickBot="1" x14ac:dyDescent="0.35">
      <c r="B22" s="16"/>
      <c r="C22" s="132"/>
      <c r="D22" s="35"/>
      <c r="E22" s="36">
        <f>SUM(F22:CG22)</f>
        <v>0.5</v>
      </c>
      <c r="F22" s="7"/>
      <c r="G22" s="5"/>
      <c r="H22" s="8"/>
      <c r="I22" s="84"/>
      <c r="J22" s="84"/>
      <c r="K22" s="84"/>
      <c r="L22" s="6">
        <v>0.5</v>
      </c>
      <c r="M22" s="7"/>
      <c r="N22" s="5"/>
      <c r="O22" s="7"/>
      <c r="P22" s="5"/>
      <c r="Q22" s="7"/>
      <c r="R22" s="5"/>
      <c r="S22" s="7"/>
      <c r="T22" s="5"/>
      <c r="U22" s="7"/>
      <c r="V22" s="5"/>
      <c r="W22" s="7"/>
      <c r="X22" s="5"/>
      <c r="Y22" s="5"/>
      <c r="Z22" s="83"/>
      <c r="AA22" s="6"/>
      <c r="AB22" s="7"/>
      <c r="AC22" s="5"/>
      <c r="AD22" s="7"/>
      <c r="AE22" s="5"/>
      <c r="AF22" s="7"/>
      <c r="AG22" s="5"/>
      <c r="AH22" s="7"/>
      <c r="AI22" s="5"/>
      <c r="AJ22" s="7"/>
      <c r="AK22" s="5"/>
      <c r="AL22" s="7"/>
      <c r="AM22" s="5"/>
      <c r="AN22" s="7"/>
      <c r="AO22" s="5"/>
      <c r="AP22" s="5"/>
      <c r="AQ22" s="6"/>
      <c r="AR22" s="7"/>
      <c r="AS22" s="6"/>
      <c r="AT22" s="7"/>
      <c r="AU22" s="6"/>
      <c r="AV22" s="7"/>
      <c r="AW22" s="5"/>
      <c r="AX22" s="5"/>
      <c r="AY22" s="6"/>
      <c r="AZ22" s="7"/>
      <c r="BA22" s="6"/>
      <c r="BB22" s="7"/>
      <c r="BC22" s="5"/>
      <c r="BD22" s="7"/>
      <c r="BE22" s="5"/>
      <c r="BF22" s="7"/>
      <c r="BG22" s="5"/>
      <c r="BH22" s="5"/>
      <c r="BI22" s="6"/>
      <c r="BJ22" s="7"/>
      <c r="BK22" s="5"/>
      <c r="BL22" s="5"/>
      <c r="BM22" s="6"/>
      <c r="BN22" s="7"/>
      <c r="BO22" s="5"/>
      <c r="BP22" s="5"/>
      <c r="BQ22" s="6"/>
      <c r="BR22" s="7"/>
      <c r="BS22" s="5"/>
      <c r="BT22" s="5"/>
      <c r="BU22" s="6"/>
      <c r="BV22" s="7"/>
      <c r="BW22" s="5"/>
      <c r="BX22" s="5"/>
      <c r="BY22" s="6"/>
      <c r="BZ22" s="7"/>
      <c r="CA22" s="5"/>
      <c r="CB22" s="5"/>
      <c r="CC22" s="6"/>
      <c r="CD22" s="7"/>
      <c r="CE22" s="5"/>
      <c r="CF22" s="5"/>
      <c r="CG22" s="6"/>
    </row>
    <row r="23" spans="2:85" s="15" customFormat="1" ht="16.5" customHeight="1" x14ac:dyDescent="0.3">
      <c r="B23" s="16"/>
      <c r="C23" s="131" t="s">
        <v>85</v>
      </c>
      <c r="D23" s="33">
        <v>35</v>
      </c>
      <c r="E23" s="34"/>
      <c r="F23" s="7"/>
      <c r="G23" s="5"/>
      <c r="H23" s="5"/>
      <c r="I23" s="83"/>
      <c r="J23" s="83"/>
      <c r="K23" s="83"/>
      <c r="L23" s="6"/>
      <c r="M23" s="7">
        <v>7</v>
      </c>
      <c r="N23" s="5"/>
      <c r="O23" s="7">
        <v>7</v>
      </c>
      <c r="P23" s="5"/>
      <c r="Q23" s="7">
        <v>7</v>
      </c>
      <c r="R23" s="5"/>
      <c r="S23" s="7">
        <v>7</v>
      </c>
      <c r="T23" s="5"/>
      <c r="U23" s="7">
        <v>7</v>
      </c>
      <c r="V23" s="5"/>
      <c r="W23" s="7"/>
      <c r="X23" s="5"/>
      <c r="Y23" s="5"/>
      <c r="Z23" s="83"/>
      <c r="AA23" s="6"/>
      <c r="AB23" s="7"/>
      <c r="AC23" s="5"/>
      <c r="AD23" s="7"/>
      <c r="AE23" s="5"/>
      <c r="AF23" s="7"/>
      <c r="AG23" s="5"/>
      <c r="AH23" s="7"/>
      <c r="AI23" s="5"/>
      <c r="AJ23" s="7"/>
      <c r="AK23" s="5"/>
      <c r="AL23" s="7"/>
      <c r="AM23" s="5"/>
      <c r="AN23" s="7"/>
      <c r="AO23" s="5"/>
      <c r="AP23" s="5"/>
      <c r="AQ23" s="6"/>
      <c r="AR23" s="7"/>
      <c r="AS23" s="6"/>
      <c r="AT23" s="7"/>
      <c r="AU23" s="6"/>
      <c r="AV23" s="7"/>
      <c r="AW23" s="5"/>
      <c r="AX23" s="5"/>
      <c r="AY23" s="6"/>
      <c r="AZ23" s="7"/>
      <c r="BA23" s="6"/>
      <c r="BB23" s="7"/>
      <c r="BC23" s="5"/>
      <c r="BD23" s="7"/>
      <c r="BE23" s="5"/>
      <c r="BF23" s="7"/>
      <c r="BG23" s="5"/>
      <c r="BH23" s="5"/>
      <c r="BI23" s="6"/>
      <c r="BJ23" s="7"/>
      <c r="BK23" s="5"/>
      <c r="BL23" s="5"/>
      <c r="BM23" s="6"/>
      <c r="BN23" s="7"/>
      <c r="BO23" s="5"/>
      <c r="BP23" s="5"/>
      <c r="BQ23" s="6"/>
      <c r="BR23" s="7"/>
      <c r="BS23" s="5"/>
      <c r="BT23" s="5"/>
      <c r="BU23" s="6"/>
      <c r="BV23" s="7"/>
      <c r="BW23" s="5"/>
      <c r="BX23" s="5"/>
      <c r="BY23" s="6"/>
      <c r="BZ23" s="7"/>
      <c r="CA23" s="5"/>
      <c r="CB23" s="5"/>
      <c r="CC23" s="6"/>
      <c r="CD23" s="7"/>
      <c r="CE23" s="5"/>
      <c r="CF23" s="5"/>
      <c r="CG23" s="6"/>
    </row>
    <row r="24" spans="2:85" s="15" customFormat="1" ht="18" customHeight="1" thickBot="1" x14ac:dyDescent="0.35">
      <c r="B24" s="16"/>
      <c r="C24" s="132"/>
      <c r="D24" s="35"/>
      <c r="E24" s="36">
        <f>SUM(F24:CG24)</f>
        <v>35</v>
      </c>
      <c r="F24" s="7"/>
      <c r="G24" s="5"/>
      <c r="H24" s="5"/>
      <c r="I24" s="83"/>
      <c r="J24" s="83"/>
      <c r="K24" s="83"/>
      <c r="L24" s="6"/>
      <c r="M24" s="7">
        <v>7</v>
      </c>
      <c r="N24" s="5"/>
      <c r="O24" s="7">
        <v>7</v>
      </c>
      <c r="P24" s="5"/>
      <c r="Q24" s="7">
        <v>7</v>
      </c>
      <c r="R24" s="5"/>
      <c r="S24" s="7">
        <v>7</v>
      </c>
      <c r="T24" s="5"/>
      <c r="U24" s="7">
        <v>7</v>
      </c>
      <c r="V24" s="5"/>
      <c r="W24" s="7"/>
      <c r="X24" s="5"/>
      <c r="Y24" s="5"/>
      <c r="Z24" s="83"/>
      <c r="AA24" s="6"/>
      <c r="AB24" s="7"/>
      <c r="AC24" s="5"/>
      <c r="AD24" s="7"/>
      <c r="AE24" s="5"/>
      <c r="AF24" s="7"/>
      <c r="AG24" s="5"/>
      <c r="AH24" s="7"/>
      <c r="AI24" s="5"/>
      <c r="AJ24" s="7"/>
      <c r="AK24" s="5"/>
      <c r="AL24" s="7"/>
      <c r="AM24" s="5"/>
      <c r="AN24" s="7"/>
      <c r="AO24" s="5"/>
      <c r="AP24" s="5"/>
      <c r="AQ24" s="6"/>
      <c r="AR24" s="7"/>
      <c r="AS24" s="6"/>
      <c r="AT24" s="7"/>
      <c r="AU24" s="6"/>
      <c r="AV24" s="7"/>
      <c r="AW24" s="5"/>
      <c r="AX24" s="5"/>
      <c r="AY24" s="6"/>
      <c r="AZ24" s="7"/>
      <c r="BA24" s="6"/>
      <c r="BB24" s="7"/>
      <c r="BC24" s="5"/>
      <c r="BD24" s="7"/>
      <c r="BE24" s="5"/>
      <c r="BF24" s="7"/>
      <c r="BG24" s="5"/>
      <c r="BH24" s="5"/>
      <c r="BI24" s="6"/>
      <c r="BJ24" s="7"/>
      <c r="BK24" s="5"/>
      <c r="BL24" s="5"/>
      <c r="BM24" s="6"/>
      <c r="BN24" s="7"/>
      <c r="BO24" s="5"/>
      <c r="BP24" s="5"/>
      <c r="BQ24" s="6"/>
      <c r="BR24" s="7"/>
      <c r="BS24" s="5"/>
      <c r="BT24" s="5"/>
      <c r="BU24" s="6"/>
      <c r="BV24" s="7"/>
      <c r="BW24" s="5"/>
      <c r="BX24" s="5"/>
      <c r="BY24" s="6"/>
      <c r="BZ24" s="7"/>
      <c r="CA24" s="5"/>
      <c r="CB24" s="5"/>
      <c r="CC24" s="6"/>
      <c r="CD24" s="7"/>
      <c r="CE24" s="5"/>
      <c r="CF24" s="5"/>
      <c r="CG24" s="6"/>
    </row>
    <row r="25" spans="2:85" s="15" customFormat="1" ht="18" hidden="1" thickBot="1" x14ac:dyDescent="0.35">
      <c r="B25" s="31"/>
      <c r="C25" s="39" t="s">
        <v>17</v>
      </c>
      <c r="D25" s="40"/>
      <c r="E25" s="41"/>
      <c r="F25" s="9"/>
      <c r="G25" s="10"/>
      <c r="H25" s="10"/>
      <c r="I25" s="85"/>
      <c r="J25" s="85"/>
      <c r="K25" s="85"/>
      <c r="L25" s="11"/>
      <c r="M25" s="9"/>
      <c r="N25" s="10"/>
      <c r="O25" s="9"/>
      <c r="P25" s="10"/>
      <c r="Q25" s="9"/>
      <c r="R25" s="10"/>
      <c r="S25" s="9"/>
      <c r="T25" s="10"/>
      <c r="U25" s="9"/>
      <c r="V25" s="10"/>
      <c r="W25" s="9"/>
      <c r="X25" s="10"/>
      <c r="Y25" s="10"/>
      <c r="Z25" s="85"/>
      <c r="AA25" s="11"/>
      <c r="AB25" s="9"/>
      <c r="AC25" s="10"/>
      <c r="AD25" s="9"/>
      <c r="AE25" s="10"/>
      <c r="AF25" s="9"/>
      <c r="AG25" s="10"/>
      <c r="AH25" s="9"/>
      <c r="AI25" s="10"/>
      <c r="AJ25" s="9"/>
      <c r="AK25" s="10"/>
      <c r="AL25" s="9"/>
      <c r="AM25" s="10"/>
      <c r="AN25" s="9"/>
      <c r="AO25" s="10"/>
      <c r="AP25" s="10"/>
      <c r="AQ25" s="11"/>
      <c r="AR25" s="9"/>
      <c r="AS25" s="11"/>
      <c r="AT25" s="9"/>
      <c r="AU25" s="11"/>
      <c r="AV25" s="9"/>
      <c r="AW25" s="10"/>
      <c r="AX25" s="10"/>
      <c r="AY25" s="11"/>
      <c r="AZ25" s="9"/>
      <c r="BA25" s="11"/>
      <c r="BB25" s="9"/>
      <c r="BC25" s="10"/>
      <c r="BD25" s="9"/>
      <c r="BE25" s="10"/>
      <c r="BF25" s="9"/>
      <c r="BG25" s="10"/>
      <c r="BH25" s="10"/>
      <c r="BI25" s="11"/>
      <c r="BJ25" s="9"/>
      <c r="BK25" s="10"/>
      <c r="BL25" s="10"/>
      <c r="BM25" s="11"/>
      <c r="BN25" s="9"/>
      <c r="BO25" s="10"/>
      <c r="BP25" s="10"/>
      <c r="BQ25" s="11"/>
      <c r="BR25" s="9"/>
      <c r="BS25" s="10"/>
      <c r="BT25" s="10"/>
      <c r="BU25" s="11"/>
      <c r="BV25" s="9"/>
      <c r="BW25" s="10"/>
      <c r="BX25" s="10"/>
      <c r="BY25" s="11"/>
      <c r="BZ25" s="9"/>
      <c r="CA25" s="10"/>
      <c r="CB25" s="10"/>
      <c r="CC25" s="11"/>
      <c r="CD25" s="9"/>
      <c r="CE25" s="10"/>
      <c r="CF25" s="10"/>
      <c r="CG25" s="11"/>
    </row>
    <row r="26" spans="2:85" s="15" customFormat="1" ht="15.75" hidden="1" customHeight="1" thickBot="1" x14ac:dyDescent="0.35">
      <c r="B26" s="16"/>
      <c r="C26" s="131" t="s">
        <v>18</v>
      </c>
      <c r="D26" s="33">
        <f>SUM(F26:CG26)</f>
        <v>0</v>
      </c>
      <c r="E26" s="34"/>
      <c r="F26" s="7"/>
      <c r="G26" s="5"/>
      <c r="H26" s="5"/>
      <c r="I26" s="83"/>
      <c r="J26" s="83"/>
      <c r="K26" s="83"/>
      <c r="L26" s="6"/>
      <c r="M26" s="7"/>
      <c r="N26" s="5"/>
      <c r="O26" s="7"/>
      <c r="P26" s="5"/>
      <c r="Q26" s="7"/>
      <c r="R26" s="5"/>
      <c r="S26" s="7"/>
      <c r="T26" s="5"/>
      <c r="U26" s="7"/>
      <c r="V26" s="5"/>
      <c r="W26" s="7"/>
      <c r="X26" s="5"/>
      <c r="Y26" s="5"/>
      <c r="Z26" s="83"/>
      <c r="AA26" s="6"/>
      <c r="AB26" s="7"/>
      <c r="AC26" s="5"/>
      <c r="AD26" s="7"/>
      <c r="AE26" s="5"/>
      <c r="AF26" s="7"/>
      <c r="AG26" s="5"/>
      <c r="AH26" s="7"/>
      <c r="AI26" s="5"/>
      <c r="AJ26" s="7"/>
      <c r="AK26" s="5"/>
      <c r="AL26" s="7"/>
      <c r="AM26" s="5"/>
      <c r="AN26" s="7"/>
      <c r="AO26" s="5"/>
      <c r="AP26" s="5"/>
      <c r="AQ26" s="6"/>
      <c r="AR26" s="7"/>
      <c r="AS26" s="6"/>
      <c r="AT26" s="7"/>
      <c r="AU26" s="6"/>
      <c r="AV26" s="7"/>
      <c r="AW26" s="5"/>
      <c r="AX26" s="5"/>
      <c r="AY26" s="6"/>
      <c r="AZ26" s="7"/>
      <c r="BA26" s="6"/>
      <c r="BB26" s="7"/>
      <c r="BC26" s="5"/>
      <c r="BD26" s="7"/>
      <c r="BE26" s="5"/>
      <c r="BF26" s="7"/>
      <c r="BG26" s="5"/>
      <c r="BH26" s="5"/>
      <c r="BI26" s="6"/>
      <c r="BJ26" s="7"/>
      <c r="BK26" s="5"/>
      <c r="BL26" s="5"/>
      <c r="BM26" s="6"/>
      <c r="BN26" s="7"/>
      <c r="BO26" s="5"/>
      <c r="BP26" s="5"/>
      <c r="BQ26" s="6"/>
      <c r="BR26" s="7"/>
      <c r="BS26" s="5"/>
      <c r="BT26" s="5"/>
      <c r="BU26" s="6"/>
      <c r="BV26" s="7"/>
      <c r="BW26" s="5"/>
      <c r="BX26" s="5"/>
      <c r="BY26" s="6"/>
      <c r="BZ26" s="7"/>
      <c r="CA26" s="5"/>
      <c r="CB26" s="5"/>
      <c r="CC26" s="6"/>
      <c r="CD26" s="7"/>
      <c r="CE26" s="5"/>
      <c r="CF26" s="5"/>
      <c r="CG26" s="6"/>
    </row>
    <row r="27" spans="2:85" s="15" customFormat="1" ht="16.5" hidden="1" customHeight="1" thickBot="1" x14ac:dyDescent="0.35">
      <c r="B27" s="16"/>
      <c r="C27" s="132"/>
      <c r="D27" s="35"/>
      <c r="E27" s="36">
        <f>SUM(F27:CG27)</f>
        <v>0</v>
      </c>
      <c r="F27" s="7"/>
      <c r="G27" s="5"/>
      <c r="H27" s="5"/>
      <c r="I27" s="83"/>
      <c r="J27" s="83"/>
      <c r="K27" s="83"/>
      <c r="L27" s="6"/>
      <c r="M27" s="7"/>
      <c r="N27" s="5"/>
      <c r="O27" s="7"/>
      <c r="P27" s="5"/>
      <c r="Q27" s="7"/>
      <c r="R27" s="5"/>
      <c r="S27" s="7"/>
      <c r="T27" s="5"/>
      <c r="U27" s="7"/>
      <c r="V27" s="5"/>
      <c r="W27" s="7"/>
      <c r="X27" s="5"/>
      <c r="Y27" s="5"/>
      <c r="Z27" s="83"/>
      <c r="AA27" s="6"/>
      <c r="AB27" s="7"/>
      <c r="AC27" s="5"/>
      <c r="AD27" s="7"/>
      <c r="AE27" s="5"/>
      <c r="AF27" s="7"/>
      <c r="AG27" s="5"/>
      <c r="AH27" s="7"/>
      <c r="AI27" s="5"/>
      <c r="AJ27" s="7"/>
      <c r="AK27" s="5"/>
      <c r="AL27" s="7"/>
      <c r="AM27" s="5"/>
      <c r="AN27" s="7"/>
      <c r="AO27" s="5"/>
      <c r="AP27" s="5"/>
      <c r="AQ27" s="6"/>
      <c r="AR27" s="7"/>
      <c r="AS27" s="6"/>
      <c r="AT27" s="7"/>
      <c r="AU27" s="6"/>
      <c r="AV27" s="7"/>
      <c r="AW27" s="5"/>
      <c r="AX27" s="5"/>
      <c r="AY27" s="6"/>
      <c r="AZ27" s="7"/>
      <c r="BA27" s="6"/>
      <c r="BB27" s="7"/>
      <c r="BC27" s="5"/>
      <c r="BD27" s="7"/>
      <c r="BE27" s="5"/>
      <c r="BF27" s="7"/>
      <c r="BG27" s="5"/>
      <c r="BH27" s="5"/>
      <c r="BI27" s="6"/>
      <c r="BJ27" s="7"/>
      <c r="BK27" s="5"/>
      <c r="BL27" s="5"/>
      <c r="BM27" s="6"/>
      <c r="BN27" s="7"/>
      <c r="BO27" s="5"/>
      <c r="BP27" s="5"/>
      <c r="BQ27" s="6"/>
      <c r="BR27" s="7"/>
      <c r="BS27" s="5"/>
      <c r="BT27" s="5"/>
      <c r="BU27" s="6"/>
      <c r="BV27" s="7"/>
      <c r="BW27" s="5"/>
      <c r="BX27" s="5"/>
      <c r="BY27" s="6"/>
      <c r="BZ27" s="7"/>
      <c r="CA27" s="5"/>
      <c r="CB27" s="5"/>
      <c r="CC27" s="6"/>
      <c r="CD27" s="7"/>
      <c r="CE27" s="5"/>
      <c r="CF27" s="5"/>
      <c r="CG27" s="6"/>
    </row>
    <row r="28" spans="2:85" s="15" customFormat="1" ht="15.75" hidden="1" customHeight="1" thickBot="1" x14ac:dyDescent="0.35">
      <c r="B28" s="16"/>
      <c r="C28" s="131" t="s">
        <v>19</v>
      </c>
      <c r="D28" s="33">
        <f>SUM(F28:CG28)</f>
        <v>0</v>
      </c>
      <c r="E28" s="34"/>
      <c r="F28" s="7"/>
      <c r="G28" s="5"/>
      <c r="H28" s="5"/>
      <c r="I28" s="83"/>
      <c r="J28" s="83"/>
      <c r="K28" s="83"/>
      <c r="L28" s="6"/>
      <c r="M28" s="7"/>
      <c r="N28" s="5"/>
      <c r="O28" s="7"/>
      <c r="P28" s="5"/>
      <c r="Q28" s="7"/>
      <c r="R28" s="5"/>
      <c r="S28" s="7"/>
      <c r="T28" s="5"/>
      <c r="U28" s="7"/>
      <c r="V28" s="5"/>
      <c r="W28" s="7"/>
      <c r="X28" s="5"/>
      <c r="Y28" s="5"/>
      <c r="Z28" s="83"/>
      <c r="AA28" s="6"/>
      <c r="AB28" s="7"/>
      <c r="AC28" s="5"/>
      <c r="AD28" s="7"/>
      <c r="AE28" s="5"/>
      <c r="AF28" s="7"/>
      <c r="AG28" s="5"/>
      <c r="AH28" s="7"/>
      <c r="AI28" s="5"/>
      <c r="AJ28" s="7"/>
      <c r="AK28" s="5"/>
      <c r="AL28" s="7"/>
      <c r="AM28" s="5"/>
      <c r="AN28" s="7"/>
      <c r="AO28" s="5"/>
      <c r="AP28" s="5"/>
      <c r="AQ28" s="6"/>
      <c r="AR28" s="7"/>
      <c r="AS28" s="6"/>
      <c r="AT28" s="7"/>
      <c r="AU28" s="6"/>
      <c r="AV28" s="7"/>
      <c r="AW28" s="5"/>
      <c r="AX28" s="5"/>
      <c r="AY28" s="6"/>
      <c r="AZ28" s="7"/>
      <c r="BA28" s="6"/>
      <c r="BB28" s="7"/>
      <c r="BC28" s="5"/>
      <c r="BD28" s="7"/>
      <c r="BE28" s="5"/>
      <c r="BF28" s="7"/>
      <c r="BG28" s="5"/>
      <c r="BH28" s="5"/>
      <c r="BI28" s="6"/>
      <c r="BJ28" s="7"/>
      <c r="BK28" s="5"/>
      <c r="BL28" s="5"/>
      <c r="BM28" s="6"/>
      <c r="BN28" s="7"/>
      <c r="BO28" s="5"/>
      <c r="BP28" s="5"/>
      <c r="BQ28" s="6"/>
      <c r="BR28" s="7"/>
      <c r="BS28" s="5"/>
      <c r="BT28" s="5"/>
      <c r="BU28" s="6"/>
      <c r="BV28" s="7"/>
      <c r="BW28" s="5"/>
      <c r="BX28" s="5"/>
      <c r="BY28" s="6"/>
      <c r="BZ28" s="7"/>
      <c r="CA28" s="5"/>
      <c r="CB28" s="5"/>
      <c r="CC28" s="6"/>
      <c r="CD28" s="7"/>
      <c r="CE28" s="5"/>
      <c r="CF28" s="5"/>
      <c r="CG28" s="6"/>
    </row>
    <row r="29" spans="2:85" s="15" customFormat="1" ht="16.5" hidden="1" customHeight="1" thickBot="1" x14ac:dyDescent="0.35">
      <c r="B29" s="16"/>
      <c r="C29" s="132"/>
      <c r="D29" s="35"/>
      <c r="E29" s="36">
        <f>SUM(F29:CG29)</f>
        <v>0</v>
      </c>
      <c r="F29" s="7"/>
      <c r="G29" s="5"/>
      <c r="H29" s="5"/>
      <c r="I29" s="83"/>
      <c r="J29" s="83"/>
      <c r="K29" s="83"/>
      <c r="L29" s="6"/>
      <c r="M29" s="7"/>
      <c r="N29" s="5"/>
      <c r="O29" s="7"/>
      <c r="P29" s="5"/>
      <c r="Q29" s="7"/>
      <c r="R29" s="5"/>
      <c r="S29" s="7"/>
      <c r="T29" s="5"/>
      <c r="U29" s="7"/>
      <c r="V29" s="5"/>
      <c r="W29" s="7"/>
      <c r="X29" s="5"/>
      <c r="Y29" s="5"/>
      <c r="Z29" s="83"/>
      <c r="AA29" s="6"/>
      <c r="AB29" s="7"/>
      <c r="AC29" s="5"/>
      <c r="AD29" s="7"/>
      <c r="AE29" s="5"/>
      <c r="AF29" s="7"/>
      <c r="AG29" s="5"/>
      <c r="AH29" s="7"/>
      <c r="AI29" s="5"/>
      <c r="AJ29" s="7"/>
      <c r="AK29" s="5"/>
      <c r="AL29" s="7"/>
      <c r="AM29" s="5"/>
      <c r="AN29" s="7"/>
      <c r="AO29" s="5"/>
      <c r="AP29" s="5"/>
      <c r="AQ29" s="6"/>
      <c r="AR29" s="7"/>
      <c r="AS29" s="6"/>
      <c r="AT29" s="7"/>
      <c r="AU29" s="6"/>
      <c r="AV29" s="7"/>
      <c r="AW29" s="5"/>
      <c r="AX29" s="5"/>
      <c r="AY29" s="6"/>
      <c r="AZ29" s="7"/>
      <c r="BA29" s="6"/>
      <c r="BB29" s="7"/>
      <c r="BC29" s="5"/>
      <c r="BD29" s="7"/>
      <c r="BE29" s="5"/>
      <c r="BF29" s="7"/>
      <c r="BG29" s="5"/>
      <c r="BH29" s="5"/>
      <c r="BI29" s="6"/>
      <c r="BJ29" s="7"/>
      <c r="BK29" s="5"/>
      <c r="BL29" s="5"/>
      <c r="BM29" s="6"/>
      <c r="BN29" s="7"/>
      <c r="BO29" s="5"/>
      <c r="BP29" s="5"/>
      <c r="BQ29" s="6"/>
      <c r="BR29" s="7"/>
      <c r="BS29" s="5"/>
      <c r="BT29" s="5"/>
      <c r="BU29" s="6"/>
      <c r="BV29" s="7"/>
      <c r="BW29" s="5"/>
      <c r="BX29" s="5"/>
      <c r="BY29" s="6"/>
      <c r="BZ29" s="7"/>
      <c r="CA29" s="5"/>
      <c r="CB29" s="5"/>
      <c r="CC29" s="6"/>
      <c r="CD29" s="7"/>
      <c r="CE29" s="5"/>
      <c r="CF29" s="5"/>
      <c r="CG29" s="6"/>
    </row>
    <row r="30" spans="2:85" s="15" customFormat="1" ht="15.75" hidden="1" customHeight="1" thickBot="1" x14ac:dyDescent="0.35">
      <c r="B30" s="16"/>
      <c r="C30" s="131" t="s">
        <v>20</v>
      </c>
      <c r="D30" s="33">
        <f>SUM(F30:CG30)</f>
        <v>0</v>
      </c>
      <c r="E30" s="34"/>
      <c r="F30" s="7"/>
      <c r="G30" s="5"/>
      <c r="H30" s="5"/>
      <c r="I30" s="83"/>
      <c r="J30" s="83"/>
      <c r="K30" s="83"/>
      <c r="L30" s="6"/>
      <c r="M30" s="7"/>
      <c r="N30" s="5"/>
      <c r="O30" s="7"/>
      <c r="P30" s="5"/>
      <c r="Q30" s="7"/>
      <c r="R30" s="5"/>
      <c r="S30" s="7"/>
      <c r="T30" s="5"/>
      <c r="U30" s="7"/>
      <c r="V30" s="5"/>
      <c r="W30" s="7"/>
      <c r="X30" s="5"/>
      <c r="Y30" s="5"/>
      <c r="Z30" s="83"/>
      <c r="AA30" s="6"/>
      <c r="AB30" s="7"/>
      <c r="AC30" s="5"/>
      <c r="AD30" s="7"/>
      <c r="AE30" s="5"/>
      <c r="AF30" s="7"/>
      <c r="AG30" s="5"/>
      <c r="AH30" s="7"/>
      <c r="AI30" s="5"/>
      <c r="AJ30" s="7"/>
      <c r="AK30" s="5"/>
      <c r="AL30" s="7"/>
      <c r="AM30" s="5"/>
      <c r="AN30" s="7"/>
      <c r="AO30" s="5"/>
      <c r="AP30" s="5"/>
      <c r="AQ30" s="6"/>
      <c r="AR30" s="7"/>
      <c r="AS30" s="6"/>
      <c r="AT30" s="7"/>
      <c r="AU30" s="6"/>
      <c r="AV30" s="7"/>
      <c r="AW30" s="5"/>
      <c r="AX30" s="5"/>
      <c r="AY30" s="6"/>
      <c r="AZ30" s="7"/>
      <c r="BA30" s="6"/>
      <c r="BB30" s="7"/>
      <c r="BC30" s="5"/>
      <c r="BD30" s="7"/>
      <c r="BE30" s="5"/>
      <c r="BF30" s="7"/>
      <c r="BG30" s="5"/>
      <c r="BH30" s="5"/>
      <c r="BI30" s="6"/>
      <c r="BJ30" s="7"/>
      <c r="BK30" s="5"/>
      <c r="BL30" s="5"/>
      <c r="BM30" s="6"/>
      <c r="BN30" s="7"/>
      <c r="BO30" s="5"/>
      <c r="BP30" s="5"/>
      <c r="BQ30" s="6"/>
      <c r="BR30" s="7"/>
      <c r="BS30" s="5"/>
      <c r="BT30" s="5"/>
      <c r="BU30" s="6"/>
      <c r="BV30" s="7"/>
      <c r="BW30" s="5"/>
      <c r="BX30" s="5"/>
      <c r="BY30" s="6"/>
      <c r="BZ30" s="7"/>
      <c r="CA30" s="5"/>
      <c r="CB30" s="5"/>
      <c r="CC30" s="6"/>
      <c r="CD30" s="7"/>
      <c r="CE30" s="5"/>
      <c r="CF30" s="5"/>
      <c r="CG30" s="6"/>
    </row>
    <row r="31" spans="2:85" s="15" customFormat="1" ht="16.5" hidden="1" customHeight="1" thickBot="1" x14ac:dyDescent="0.35">
      <c r="B31" s="16"/>
      <c r="C31" s="132"/>
      <c r="D31" s="35"/>
      <c r="E31" s="36">
        <f>SUM(F31:CG31)</f>
        <v>0</v>
      </c>
      <c r="F31" s="7"/>
      <c r="G31" s="5"/>
      <c r="H31" s="5"/>
      <c r="I31" s="83"/>
      <c r="J31" s="83"/>
      <c r="K31" s="83"/>
      <c r="L31" s="6"/>
      <c r="M31" s="7"/>
      <c r="N31" s="5"/>
      <c r="O31" s="7"/>
      <c r="P31" s="5"/>
      <c r="Q31" s="7"/>
      <c r="R31" s="5"/>
      <c r="S31" s="7"/>
      <c r="T31" s="5"/>
      <c r="U31" s="7"/>
      <c r="V31" s="5"/>
      <c r="W31" s="7"/>
      <c r="X31" s="5"/>
      <c r="Y31" s="5"/>
      <c r="Z31" s="83"/>
      <c r="AA31" s="6"/>
      <c r="AB31" s="7"/>
      <c r="AC31" s="5"/>
      <c r="AD31" s="7"/>
      <c r="AE31" s="5"/>
      <c r="AF31" s="7"/>
      <c r="AG31" s="5"/>
      <c r="AH31" s="7"/>
      <c r="AI31" s="5"/>
      <c r="AJ31" s="7"/>
      <c r="AK31" s="5"/>
      <c r="AL31" s="7"/>
      <c r="AM31" s="5"/>
      <c r="AN31" s="7"/>
      <c r="AO31" s="5"/>
      <c r="AP31" s="5"/>
      <c r="AQ31" s="6"/>
      <c r="AR31" s="7"/>
      <c r="AS31" s="6"/>
      <c r="AT31" s="7"/>
      <c r="AU31" s="6"/>
      <c r="AV31" s="7"/>
      <c r="AW31" s="5"/>
      <c r="AX31" s="5"/>
      <c r="AY31" s="6"/>
      <c r="AZ31" s="7"/>
      <c r="BA31" s="6"/>
      <c r="BB31" s="7"/>
      <c r="BC31" s="5"/>
      <c r="BD31" s="7"/>
      <c r="BE31" s="5"/>
      <c r="BF31" s="7"/>
      <c r="BG31" s="5"/>
      <c r="BH31" s="5"/>
      <c r="BI31" s="6"/>
      <c r="BJ31" s="7"/>
      <c r="BK31" s="5"/>
      <c r="BL31" s="5"/>
      <c r="BM31" s="6"/>
      <c r="BN31" s="7"/>
      <c r="BO31" s="5"/>
      <c r="BP31" s="5"/>
      <c r="BQ31" s="6"/>
      <c r="BR31" s="7"/>
      <c r="BS31" s="5"/>
      <c r="BT31" s="5"/>
      <c r="BU31" s="6"/>
      <c r="BV31" s="7"/>
      <c r="BW31" s="5"/>
      <c r="BX31" s="5"/>
      <c r="BY31" s="6"/>
      <c r="BZ31" s="7"/>
      <c r="CA31" s="5"/>
      <c r="CB31" s="5"/>
      <c r="CC31" s="6"/>
      <c r="CD31" s="7"/>
      <c r="CE31" s="5"/>
      <c r="CF31" s="5"/>
      <c r="CG31" s="6"/>
    </row>
    <row r="32" spans="2:85" s="15" customFormat="1" ht="15.75" hidden="1" customHeight="1" thickBot="1" x14ac:dyDescent="0.35">
      <c r="B32" s="16"/>
      <c r="C32" s="131" t="s">
        <v>21</v>
      </c>
      <c r="D32" s="33">
        <f>SUM(F32:CG32)</f>
        <v>0</v>
      </c>
      <c r="E32" s="34"/>
      <c r="F32" s="7"/>
      <c r="G32" s="5"/>
      <c r="H32" s="5"/>
      <c r="I32" s="83"/>
      <c r="J32" s="83"/>
      <c r="K32" s="83"/>
      <c r="L32" s="6"/>
      <c r="M32" s="7"/>
      <c r="N32" s="5"/>
      <c r="O32" s="7"/>
      <c r="P32" s="5"/>
      <c r="Q32" s="7"/>
      <c r="R32" s="5"/>
      <c r="S32" s="7"/>
      <c r="T32" s="5"/>
      <c r="U32" s="7"/>
      <c r="V32" s="5"/>
      <c r="W32" s="7"/>
      <c r="X32" s="5"/>
      <c r="Y32" s="5"/>
      <c r="Z32" s="83"/>
      <c r="AA32" s="6"/>
      <c r="AB32" s="7"/>
      <c r="AC32" s="5"/>
      <c r="AD32" s="7"/>
      <c r="AE32" s="5"/>
      <c r="AF32" s="7"/>
      <c r="AG32" s="5"/>
      <c r="AH32" s="7"/>
      <c r="AI32" s="5"/>
      <c r="AJ32" s="7"/>
      <c r="AK32" s="5"/>
      <c r="AL32" s="7"/>
      <c r="AM32" s="5"/>
      <c r="AN32" s="7"/>
      <c r="AO32" s="5"/>
      <c r="AP32" s="5"/>
      <c r="AQ32" s="6"/>
      <c r="AR32" s="7"/>
      <c r="AS32" s="6"/>
      <c r="AT32" s="7"/>
      <c r="AU32" s="6"/>
      <c r="AV32" s="7"/>
      <c r="AW32" s="5"/>
      <c r="AX32" s="5"/>
      <c r="AY32" s="6"/>
      <c r="AZ32" s="7"/>
      <c r="BA32" s="6"/>
      <c r="BB32" s="7"/>
      <c r="BC32" s="5"/>
      <c r="BD32" s="7"/>
      <c r="BE32" s="5"/>
      <c r="BF32" s="7"/>
      <c r="BG32" s="5"/>
      <c r="BH32" s="5"/>
      <c r="BI32" s="6"/>
      <c r="BJ32" s="7"/>
      <c r="BK32" s="5"/>
      <c r="BL32" s="5"/>
      <c r="BM32" s="6"/>
      <c r="BN32" s="7"/>
      <c r="BO32" s="5"/>
      <c r="BP32" s="5"/>
      <c r="BQ32" s="6"/>
      <c r="BR32" s="7"/>
      <c r="BS32" s="5"/>
      <c r="BT32" s="5"/>
      <c r="BU32" s="6"/>
      <c r="BV32" s="7"/>
      <c r="BW32" s="5"/>
      <c r="BX32" s="5"/>
      <c r="BY32" s="6"/>
      <c r="BZ32" s="7"/>
      <c r="CA32" s="5"/>
      <c r="CB32" s="5"/>
      <c r="CC32" s="6"/>
      <c r="CD32" s="7"/>
      <c r="CE32" s="5"/>
      <c r="CF32" s="5"/>
      <c r="CG32" s="6"/>
    </row>
    <row r="33" spans="2:85" s="15" customFormat="1" ht="16.5" hidden="1" customHeight="1" thickBot="1" x14ac:dyDescent="0.35">
      <c r="B33" s="16"/>
      <c r="C33" s="132"/>
      <c r="D33" s="35"/>
      <c r="E33" s="36">
        <f>SUM(F33:CG33)</f>
        <v>0</v>
      </c>
      <c r="F33" s="7"/>
      <c r="G33" s="5"/>
      <c r="H33" s="5"/>
      <c r="I33" s="83"/>
      <c r="J33" s="83"/>
      <c r="K33" s="83"/>
      <c r="L33" s="6"/>
      <c r="M33" s="7"/>
      <c r="N33" s="5"/>
      <c r="O33" s="7"/>
      <c r="P33" s="5"/>
      <c r="Q33" s="7"/>
      <c r="R33" s="5"/>
      <c r="S33" s="7"/>
      <c r="T33" s="5"/>
      <c r="U33" s="7"/>
      <c r="V33" s="5"/>
      <c r="W33" s="7"/>
      <c r="X33" s="5"/>
      <c r="Y33" s="5"/>
      <c r="Z33" s="83"/>
      <c r="AA33" s="6"/>
      <c r="AB33" s="7"/>
      <c r="AC33" s="5"/>
      <c r="AD33" s="7"/>
      <c r="AE33" s="5"/>
      <c r="AF33" s="7"/>
      <c r="AG33" s="5"/>
      <c r="AH33" s="7"/>
      <c r="AI33" s="5"/>
      <c r="AJ33" s="7"/>
      <c r="AK33" s="5"/>
      <c r="AL33" s="7"/>
      <c r="AM33" s="5"/>
      <c r="AN33" s="7"/>
      <c r="AO33" s="5"/>
      <c r="AP33" s="5"/>
      <c r="AQ33" s="6"/>
      <c r="AR33" s="7"/>
      <c r="AS33" s="6"/>
      <c r="AT33" s="7"/>
      <c r="AU33" s="6"/>
      <c r="AV33" s="7"/>
      <c r="AW33" s="5"/>
      <c r="AX33" s="5"/>
      <c r="AY33" s="6"/>
      <c r="AZ33" s="7"/>
      <c r="BA33" s="6"/>
      <c r="BB33" s="7"/>
      <c r="BC33" s="5"/>
      <c r="BD33" s="7"/>
      <c r="BE33" s="5"/>
      <c r="BF33" s="7"/>
      <c r="BG33" s="5"/>
      <c r="BH33" s="5"/>
      <c r="BI33" s="6"/>
      <c r="BJ33" s="7"/>
      <c r="BK33" s="5"/>
      <c r="BL33" s="5"/>
      <c r="BM33" s="6"/>
      <c r="BN33" s="7"/>
      <c r="BO33" s="5"/>
      <c r="BP33" s="5"/>
      <c r="BQ33" s="6"/>
      <c r="BR33" s="7"/>
      <c r="BS33" s="5"/>
      <c r="BT33" s="5"/>
      <c r="BU33" s="6"/>
      <c r="BV33" s="7"/>
      <c r="BW33" s="5"/>
      <c r="BX33" s="5"/>
      <c r="BY33" s="6"/>
      <c r="BZ33" s="7"/>
      <c r="CA33" s="5"/>
      <c r="CB33" s="5"/>
      <c r="CC33" s="6"/>
      <c r="CD33" s="7"/>
      <c r="CE33" s="5"/>
      <c r="CF33" s="5"/>
      <c r="CG33" s="6"/>
    </row>
    <row r="34" spans="2:85" s="15" customFormat="1" ht="15.75" hidden="1" customHeight="1" thickBot="1" x14ac:dyDescent="0.35">
      <c r="B34" s="16"/>
      <c r="C34" s="131" t="s">
        <v>22</v>
      </c>
      <c r="D34" s="33">
        <f>SUM(F34:CG34)</f>
        <v>0</v>
      </c>
      <c r="E34" s="34"/>
      <c r="F34" s="7"/>
      <c r="G34" s="5"/>
      <c r="H34" s="5"/>
      <c r="I34" s="83"/>
      <c r="J34" s="83"/>
      <c r="K34" s="83"/>
      <c r="L34" s="6"/>
      <c r="M34" s="7"/>
      <c r="N34" s="5"/>
      <c r="O34" s="7"/>
      <c r="P34" s="5"/>
      <c r="Q34" s="7"/>
      <c r="R34" s="5"/>
      <c r="S34" s="7"/>
      <c r="T34" s="5"/>
      <c r="U34" s="7"/>
      <c r="V34" s="5"/>
      <c r="W34" s="7"/>
      <c r="X34" s="5"/>
      <c r="Y34" s="5"/>
      <c r="Z34" s="83"/>
      <c r="AA34" s="6"/>
      <c r="AB34" s="7"/>
      <c r="AC34" s="5"/>
      <c r="AD34" s="7"/>
      <c r="AE34" s="5"/>
      <c r="AF34" s="7"/>
      <c r="AG34" s="5"/>
      <c r="AH34" s="7"/>
      <c r="AI34" s="5"/>
      <c r="AJ34" s="7"/>
      <c r="AK34" s="5"/>
      <c r="AL34" s="7"/>
      <c r="AM34" s="5"/>
      <c r="AN34" s="7"/>
      <c r="AO34" s="5"/>
      <c r="AP34" s="5"/>
      <c r="AQ34" s="6"/>
      <c r="AR34" s="7"/>
      <c r="AS34" s="6"/>
      <c r="AT34" s="7"/>
      <c r="AU34" s="6"/>
      <c r="AV34" s="7"/>
      <c r="AW34" s="5"/>
      <c r="AX34" s="5"/>
      <c r="AY34" s="6"/>
      <c r="AZ34" s="7"/>
      <c r="BA34" s="6"/>
      <c r="BB34" s="7"/>
      <c r="BC34" s="5"/>
      <c r="BD34" s="7"/>
      <c r="BE34" s="5"/>
      <c r="BF34" s="7"/>
      <c r="BG34" s="5"/>
      <c r="BH34" s="5"/>
      <c r="BI34" s="6"/>
      <c r="BJ34" s="7"/>
      <c r="BK34" s="5"/>
      <c r="BL34" s="5"/>
      <c r="BM34" s="6"/>
      <c r="BN34" s="7"/>
      <c r="BO34" s="5"/>
      <c r="BP34" s="5"/>
      <c r="BQ34" s="6"/>
      <c r="BR34" s="7"/>
      <c r="BS34" s="5"/>
      <c r="BT34" s="5"/>
      <c r="BU34" s="6"/>
      <c r="BV34" s="7"/>
      <c r="BW34" s="5"/>
      <c r="BX34" s="5"/>
      <c r="BY34" s="6"/>
      <c r="BZ34" s="7"/>
      <c r="CA34" s="5"/>
      <c r="CB34" s="5"/>
      <c r="CC34" s="6"/>
      <c r="CD34" s="7"/>
      <c r="CE34" s="5"/>
      <c r="CF34" s="5"/>
      <c r="CG34" s="6"/>
    </row>
    <row r="35" spans="2:85" s="15" customFormat="1" ht="16.5" hidden="1" customHeight="1" thickBot="1" x14ac:dyDescent="0.35">
      <c r="B35" s="16"/>
      <c r="C35" s="132"/>
      <c r="D35" s="35"/>
      <c r="E35" s="36">
        <f>SUM(F35:CG35)</f>
        <v>0</v>
      </c>
      <c r="F35" s="7"/>
      <c r="G35" s="5"/>
      <c r="H35" s="5"/>
      <c r="I35" s="83"/>
      <c r="J35" s="83"/>
      <c r="K35" s="83"/>
      <c r="L35" s="6"/>
      <c r="M35" s="7"/>
      <c r="N35" s="5"/>
      <c r="O35" s="6"/>
      <c r="P35" s="5"/>
      <c r="Q35" s="7"/>
      <c r="R35" s="5"/>
      <c r="S35" s="7"/>
      <c r="T35" s="5"/>
      <c r="U35" s="7"/>
      <c r="V35" s="5"/>
      <c r="W35" s="7"/>
      <c r="X35" s="5"/>
      <c r="Y35" s="5"/>
      <c r="Z35" s="83"/>
      <c r="AA35" s="6"/>
      <c r="AB35" s="7"/>
      <c r="AC35" s="5"/>
      <c r="AD35" s="7"/>
      <c r="AE35" s="5"/>
      <c r="AF35" s="7"/>
      <c r="AG35" s="5"/>
      <c r="AH35" s="7"/>
      <c r="AI35" s="5"/>
      <c r="AJ35" s="7"/>
      <c r="AK35" s="5"/>
      <c r="AL35" s="7"/>
      <c r="AM35" s="5"/>
      <c r="AN35" s="7"/>
      <c r="AO35" s="5"/>
      <c r="AP35" s="5"/>
      <c r="AQ35" s="6"/>
      <c r="AR35" s="7"/>
      <c r="AS35" s="6"/>
      <c r="AT35" s="7"/>
      <c r="AU35" s="6"/>
      <c r="AV35" s="7"/>
      <c r="AW35" s="5"/>
      <c r="AX35" s="5"/>
      <c r="AY35" s="6"/>
      <c r="AZ35" s="7"/>
      <c r="BA35" s="6"/>
      <c r="BB35" s="7"/>
      <c r="BC35" s="5"/>
      <c r="BD35" s="7"/>
      <c r="BE35" s="5"/>
      <c r="BF35" s="7"/>
      <c r="BG35" s="5"/>
      <c r="BH35" s="5"/>
      <c r="BI35" s="6"/>
      <c r="BJ35" s="7"/>
      <c r="BK35" s="5"/>
      <c r="BL35" s="5"/>
      <c r="BM35" s="6"/>
      <c r="BN35" s="7"/>
      <c r="BO35" s="5"/>
      <c r="BP35" s="5"/>
      <c r="BQ35" s="6"/>
      <c r="BR35" s="7"/>
      <c r="BS35" s="5"/>
      <c r="BT35" s="5"/>
      <c r="BU35" s="6"/>
      <c r="BV35" s="7"/>
      <c r="BW35" s="5"/>
      <c r="BX35" s="5"/>
      <c r="BY35" s="6"/>
      <c r="BZ35" s="7"/>
      <c r="CA35" s="5"/>
      <c r="CB35" s="5"/>
      <c r="CC35" s="6"/>
      <c r="CD35" s="7"/>
      <c r="CE35" s="5"/>
      <c r="CF35" s="5"/>
      <c r="CG35" s="6"/>
    </row>
    <row r="36" spans="2:85" s="15" customFormat="1" ht="15.75" hidden="1" customHeight="1" thickBot="1" x14ac:dyDescent="0.35">
      <c r="B36" s="16"/>
      <c r="C36" s="131" t="s">
        <v>23</v>
      </c>
      <c r="D36" s="33">
        <f>SUM(F36:CG36)</f>
        <v>0</v>
      </c>
      <c r="E36" s="34"/>
      <c r="F36" s="7"/>
      <c r="G36" s="5"/>
      <c r="H36" s="5"/>
      <c r="I36" s="83"/>
      <c r="J36" s="83"/>
      <c r="K36" s="83"/>
      <c r="L36" s="6"/>
      <c r="M36" s="7"/>
      <c r="N36" s="5"/>
      <c r="O36" s="7"/>
      <c r="P36" s="5"/>
      <c r="Q36" s="7"/>
      <c r="R36" s="5"/>
      <c r="S36" s="7"/>
      <c r="T36" s="5"/>
      <c r="U36" s="7"/>
      <c r="V36" s="5"/>
      <c r="W36" s="7"/>
      <c r="X36" s="5"/>
      <c r="Y36" s="5"/>
      <c r="Z36" s="83"/>
      <c r="AA36" s="6"/>
      <c r="AB36" s="7"/>
      <c r="AC36" s="5"/>
      <c r="AD36" s="7"/>
      <c r="AE36" s="5"/>
      <c r="AF36" s="7"/>
      <c r="AG36" s="5"/>
      <c r="AH36" s="7"/>
      <c r="AI36" s="5"/>
      <c r="AJ36" s="7"/>
      <c r="AK36" s="5"/>
      <c r="AL36" s="7"/>
      <c r="AM36" s="5"/>
      <c r="AN36" s="7"/>
      <c r="AO36" s="5"/>
      <c r="AP36" s="5"/>
      <c r="AQ36" s="6"/>
      <c r="AR36" s="7"/>
      <c r="AS36" s="6"/>
      <c r="AT36" s="7"/>
      <c r="AU36" s="6"/>
      <c r="AV36" s="7"/>
      <c r="AW36" s="5"/>
      <c r="AX36" s="5"/>
      <c r="AY36" s="6"/>
      <c r="AZ36" s="7"/>
      <c r="BA36" s="6"/>
      <c r="BB36" s="7"/>
      <c r="BC36" s="5"/>
      <c r="BD36" s="7"/>
      <c r="BE36" s="5"/>
      <c r="BF36" s="7"/>
      <c r="BG36" s="5"/>
      <c r="BH36" s="5"/>
      <c r="BI36" s="6"/>
      <c r="BJ36" s="7"/>
      <c r="BK36" s="5"/>
      <c r="BL36" s="5"/>
      <c r="BM36" s="6"/>
      <c r="BN36" s="7"/>
      <c r="BO36" s="5"/>
      <c r="BP36" s="5"/>
      <c r="BQ36" s="6"/>
      <c r="BR36" s="7"/>
      <c r="BS36" s="5"/>
      <c r="BT36" s="5"/>
      <c r="BU36" s="6"/>
      <c r="BV36" s="7"/>
      <c r="BW36" s="5"/>
      <c r="BX36" s="5"/>
      <c r="BY36" s="6"/>
      <c r="BZ36" s="7"/>
      <c r="CA36" s="5"/>
      <c r="CB36" s="5"/>
      <c r="CC36" s="6"/>
      <c r="CD36" s="7"/>
      <c r="CE36" s="5"/>
      <c r="CF36" s="5"/>
      <c r="CG36" s="6"/>
    </row>
    <row r="37" spans="2:85" s="15" customFormat="1" ht="16.5" hidden="1" customHeight="1" thickBot="1" x14ac:dyDescent="0.35">
      <c r="B37" s="16"/>
      <c r="C37" s="132"/>
      <c r="D37" s="35"/>
      <c r="E37" s="36">
        <f>SUM(F37:CG37)</f>
        <v>0</v>
      </c>
      <c r="F37" s="7"/>
      <c r="G37" s="5"/>
      <c r="H37" s="5"/>
      <c r="I37" s="83"/>
      <c r="J37" s="83"/>
      <c r="K37" s="83"/>
      <c r="L37" s="6"/>
      <c r="M37" s="7"/>
      <c r="N37" s="5"/>
      <c r="O37" s="6"/>
      <c r="P37" s="5"/>
      <c r="Q37" s="7"/>
      <c r="R37" s="5"/>
      <c r="S37" s="7"/>
      <c r="T37" s="5"/>
      <c r="U37" s="7"/>
      <c r="V37" s="5"/>
      <c r="W37" s="7"/>
      <c r="X37" s="5"/>
      <c r="Y37" s="5"/>
      <c r="Z37" s="83"/>
      <c r="AA37" s="6"/>
      <c r="AB37" s="7"/>
      <c r="AC37" s="5"/>
      <c r="AD37" s="7"/>
      <c r="AE37" s="5"/>
      <c r="AF37" s="7"/>
      <c r="AG37" s="5"/>
      <c r="AH37" s="7"/>
      <c r="AI37" s="5"/>
      <c r="AJ37" s="7"/>
      <c r="AK37" s="5"/>
      <c r="AL37" s="7"/>
      <c r="AM37" s="5"/>
      <c r="AN37" s="7"/>
      <c r="AO37" s="5"/>
      <c r="AP37" s="5"/>
      <c r="AQ37" s="6"/>
      <c r="AR37" s="7"/>
      <c r="AS37" s="6"/>
      <c r="AT37" s="7"/>
      <c r="AU37" s="6"/>
      <c r="AV37" s="7"/>
      <c r="AW37" s="5"/>
      <c r="AX37" s="5"/>
      <c r="AY37" s="6"/>
      <c r="AZ37" s="7"/>
      <c r="BA37" s="6"/>
      <c r="BB37" s="7"/>
      <c r="BC37" s="5"/>
      <c r="BD37" s="7"/>
      <c r="BE37" s="5"/>
      <c r="BF37" s="7"/>
      <c r="BG37" s="5"/>
      <c r="BH37" s="5"/>
      <c r="BI37" s="6"/>
      <c r="BJ37" s="7"/>
      <c r="BK37" s="5"/>
      <c r="BL37" s="5"/>
      <c r="BM37" s="6"/>
      <c r="BN37" s="7"/>
      <c r="BO37" s="5"/>
      <c r="BP37" s="5"/>
      <c r="BQ37" s="6"/>
      <c r="BR37" s="7"/>
      <c r="BS37" s="5"/>
      <c r="BT37" s="5"/>
      <c r="BU37" s="6"/>
      <c r="BV37" s="7"/>
      <c r="BW37" s="5"/>
      <c r="BX37" s="5"/>
      <c r="BY37" s="6"/>
      <c r="BZ37" s="7"/>
      <c r="CA37" s="5"/>
      <c r="CB37" s="5"/>
      <c r="CC37" s="6"/>
      <c r="CD37" s="7"/>
      <c r="CE37" s="5"/>
      <c r="CF37" s="5"/>
      <c r="CG37" s="6"/>
    </row>
    <row r="38" spans="2:85" s="15" customFormat="1" ht="15.75" hidden="1" customHeight="1" thickBot="1" x14ac:dyDescent="0.35">
      <c r="B38" s="16"/>
      <c r="C38" s="133" t="s">
        <v>24</v>
      </c>
      <c r="D38" s="33">
        <f>SUM(F38:CG38)</f>
        <v>0</v>
      </c>
      <c r="E38" s="34"/>
      <c r="F38" s="7"/>
      <c r="G38" s="5"/>
      <c r="H38" s="5"/>
      <c r="I38" s="83"/>
      <c r="J38" s="83"/>
      <c r="K38" s="83"/>
      <c r="L38" s="6"/>
      <c r="M38" s="7"/>
      <c r="N38" s="5"/>
      <c r="O38" s="7"/>
      <c r="P38" s="5"/>
      <c r="Q38" s="7"/>
      <c r="R38" s="5"/>
      <c r="S38" s="7"/>
      <c r="T38" s="5"/>
      <c r="U38" s="7"/>
      <c r="V38" s="5"/>
      <c r="W38" s="7"/>
      <c r="X38" s="5"/>
      <c r="Y38" s="5"/>
      <c r="Z38" s="83"/>
      <c r="AA38" s="6"/>
      <c r="AB38" s="7"/>
      <c r="AC38" s="5"/>
      <c r="AD38" s="7"/>
      <c r="AE38" s="5"/>
      <c r="AF38" s="7"/>
      <c r="AG38" s="5"/>
      <c r="AH38" s="7"/>
      <c r="AI38" s="5"/>
      <c r="AJ38" s="7"/>
      <c r="AK38" s="5"/>
      <c r="AL38" s="7"/>
      <c r="AM38" s="5"/>
      <c r="AN38" s="7"/>
      <c r="AO38" s="5"/>
      <c r="AP38" s="5"/>
      <c r="AQ38" s="6"/>
      <c r="AR38" s="7"/>
      <c r="AS38" s="6"/>
      <c r="AT38" s="7"/>
      <c r="AU38" s="6"/>
      <c r="AV38" s="7"/>
      <c r="AW38" s="5"/>
      <c r="AX38" s="5"/>
      <c r="AY38" s="6"/>
      <c r="AZ38" s="7"/>
      <c r="BA38" s="6"/>
      <c r="BB38" s="7"/>
      <c r="BC38" s="5"/>
      <c r="BD38" s="7"/>
      <c r="BE38" s="5"/>
      <c r="BF38" s="7"/>
      <c r="BG38" s="5"/>
      <c r="BH38" s="5"/>
      <c r="BI38" s="6"/>
      <c r="BJ38" s="7"/>
      <c r="BK38" s="5"/>
      <c r="BL38" s="5"/>
      <c r="BM38" s="6"/>
      <c r="BN38" s="7"/>
      <c r="BO38" s="5"/>
      <c r="BP38" s="5"/>
      <c r="BQ38" s="6"/>
      <c r="BR38" s="7"/>
      <c r="BS38" s="5"/>
      <c r="BT38" s="5"/>
      <c r="BU38" s="6"/>
      <c r="BV38" s="7"/>
      <c r="BW38" s="5"/>
      <c r="BX38" s="5"/>
      <c r="BY38" s="6"/>
      <c r="BZ38" s="7"/>
      <c r="CA38" s="5"/>
      <c r="CB38" s="5"/>
      <c r="CC38" s="6"/>
      <c r="CD38" s="7"/>
      <c r="CE38" s="5"/>
      <c r="CF38" s="5"/>
      <c r="CG38" s="6"/>
    </row>
    <row r="39" spans="2:85" s="15" customFormat="1" ht="13.5" hidden="1" customHeight="1" thickBot="1" x14ac:dyDescent="0.35">
      <c r="B39" s="16"/>
      <c r="C39" s="134"/>
      <c r="D39" s="35"/>
      <c r="E39" s="36">
        <f>SUM(F39:CG39)</f>
        <v>0</v>
      </c>
      <c r="F39" s="7"/>
      <c r="G39" s="5"/>
      <c r="H39" s="5"/>
      <c r="I39" s="83"/>
      <c r="J39" s="83"/>
      <c r="K39" s="83"/>
      <c r="L39" s="6"/>
      <c r="M39" s="7"/>
      <c r="N39" s="5"/>
      <c r="O39" s="7"/>
      <c r="P39" s="5"/>
      <c r="Q39" s="7"/>
      <c r="R39" s="5"/>
      <c r="S39" s="7"/>
      <c r="T39" s="5"/>
      <c r="U39" s="7"/>
      <c r="V39" s="5"/>
      <c r="W39" s="7"/>
      <c r="X39" s="5"/>
      <c r="Y39" s="5"/>
      <c r="Z39" s="83"/>
      <c r="AA39" s="6"/>
      <c r="AB39" s="7"/>
      <c r="AC39" s="5"/>
      <c r="AD39" s="7"/>
      <c r="AE39" s="5"/>
      <c r="AF39" s="7"/>
      <c r="AG39" s="5"/>
      <c r="AH39" s="7"/>
      <c r="AI39" s="5"/>
      <c r="AJ39" s="7"/>
      <c r="AK39" s="5"/>
      <c r="AL39" s="7"/>
      <c r="AM39" s="5"/>
      <c r="AN39" s="7"/>
      <c r="AO39" s="5"/>
      <c r="AP39" s="5"/>
      <c r="AQ39" s="6"/>
      <c r="AR39" s="7"/>
      <c r="AS39" s="6"/>
      <c r="AT39" s="7"/>
      <c r="AU39" s="6"/>
      <c r="AV39" s="7"/>
      <c r="AW39" s="5"/>
      <c r="AX39" s="5"/>
      <c r="AY39" s="6"/>
      <c r="AZ39" s="7"/>
      <c r="BA39" s="6"/>
      <c r="BB39" s="7"/>
      <c r="BC39" s="5"/>
      <c r="BD39" s="7"/>
      <c r="BE39" s="5"/>
      <c r="BF39" s="7"/>
      <c r="BG39" s="5"/>
      <c r="BH39" s="5"/>
      <c r="BI39" s="6"/>
      <c r="BJ39" s="7"/>
      <c r="BK39" s="5"/>
      <c r="BL39" s="5"/>
      <c r="BM39" s="6"/>
      <c r="BN39" s="7"/>
      <c r="BO39" s="5"/>
      <c r="BP39" s="5"/>
      <c r="BQ39" s="6"/>
      <c r="BR39" s="7"/>
      <c r="BS39" s="5"/>
      <c r="BT39" s="5"/>
      <c r="BU39" s="6"/>
      <c r="BV39" s="7"/>
      <c r="BW39" s="5"/>
      <c r="BX39" s="5"/>
      <c r="BY39" s="6"/>
      <c r="BZ39" s="7"/>
      <c r="CA39" s="5"/>
      <c r="CB39" s="5"/>
      <c r="CC39" s="6"/>
      <c r="CD39" s="7"/>
      <c r="CE39" s="5"/>
      <c r="CF39" s="5"/>
      <c r="CG39" s="6"/>
    </row>
    <row r="40" spans="2:85" s="15" customFormat="1" ht="18" thickBot="1" x14ac:dyDescent="0.35">
      <c r="B40" s="31"/>
      <c r="C40" s="98" t="s">
        <v>25</v>
      </c>
      <c r="D40" s="98"/>
      <c r="E40" s="99"/>
      <c r="F40" s="7"/>
      <c r="G40" s="5"/>
      <c r="H40" s="5"/>
      <c r="I40" s="83"/>
      <c r="J40" s="83"/>
      <c r="K40" s="83"/>
      <c r="L40" s="6"/>
      <c r="M40" s="7"/>
      <c r="N40" s="5"/>
      <c r="O40" s="7"/>
      <c r="P40" s="5"/>
      <c r="Q40" s="7"/>
      <c r="R40" s="5"/>
      <c r="S40" s="7"/>
      <c r="T40" s="5"/>
      <c r="U40" s="7"/>
      <c r="V40" s="5"/>
      <c r="W40" s="7"/>
      <c r="X40" s="5"/>
      <c r="Y40" s="5"/>
      <c r="Z40" s="83"/>
      <c r="AA40" s="6"/>
      <c r="AB40" s="7"/>
      <c r="AC40" s="5"/>
      <c r="AD40" s="7"/>
      <c r="AE40" s="5"/>
      <c r="AF40" s="7"/>
      <c r="AG40" s="5"/>
      <c r="AH40" s="7"/>
      <c r="AI40" s="5"/>
      <c r="AJ40" s="7"/>
      <c r="AK40" s="5"/>
      <c r="AL40" s="7"/>
      <c r="AM40" s="5"/>
      <c r="AN40" s="7"/>
      <c r="AO40" s="5"/>
      <c r="AP40" s="5"/>
      <c r="AQ40" s="6"/>
      <c r="AR40" s="7"/>
      <c r="AS40" s="6"/>
      <c r="AT40" s="7"/>
      <c r="AU40" s="6"/>
      <c r="AV40" s="7"/>
      <c r="AW40" s="5"/>
      <c r="AX40" s="5"/>
      <c r="AY40" s="6"/>
      <c r="AZ40" s="7"/>
      <c r="BA40" s="6"/>
      <c r="BB40" s="7"/>
      <c r="BC40" s="5"/>
      <c r="BD40" s="7"/>
      <c r="BE40" s="5"/>
      <c r="BF40" s="7"/>
      <c r="BG40" s="5"/>
      <c r="BH40" s="5"/>
      <c r="BI40" s="6"/>
      <c r="BJ40" s="7"/>
      <c r="BK40" s="5"/>
      <c r="BL40" s="5"/>
      <c r="BM40" s="6"/>
      <c r="BN40" s="7"/>
      <c r="BO40" s="5"/>
      <c r="BP40" s="5"/>
      <c r="BQ40" s="6"/>
      <c r="BR40" s="7"/>
      <c r="BS40" s="5"/>
      <c r="BT40" s="5"/>
      <c r="BU40" s="6"/>
      <c r="BV40" s="7"/>
      <c r="BW40" s="5"/>
      <c r="BX40" s="5"/>
      <c r="BY40" s="6"/>
      <c r="BZ40" s="7"/>
      <c r="CA40" s="5"/>
      <c r="CB40" s="5"/>
      <c r="CC40" s="6"/>
      <c r="CD40" s="7"/>
      <c r="CE40" s="5"/>
      <c r="CF40" s="5"/>
      <c r="CG40" s="6"/>
    </row>
    <row r="41" spans="2:85" s="15" customFormat="1" ht="16.2" thickBot="1" x14ac:dyDescent="0.35">
      <c r="B41" s="16"/>
      <c r="C41" s="100" t="s">
        <v>26</v>
      </c>
      <c r="D41" s="33">
        <f>SUM(F41:CG41)</f>
        <v>1.5</v>
      </c>
      <c r="E41" s="34"/>
      <c r="F41" s="7"/>
      <c r="G41" s="5"/>
      <c r="H41" s="5"/>
      <c r="I41" s="83"/>
      <c r="J41" s="83"/>
      <c r="K41" s="83"/>
      <c r="L41" s="6"/>
      <c r="M41" s="7"/>
      <c r="N41" s="5"/>
      <c r="O41" s="7"/>
      <c r="P41" s="5"/>
      <c r="Q41" s="7"/>
      <c r="R41" s="5"/>
      <c r="S41" s="7"/>
      <c r="T41" s="5"/>
      <c r="U41" s="7"/>
      <c r="V41" s="5"/>
      <c r="W41" s="7">
        <v>1.5</v>
      </c>
      <c r="X41" s="5"/>
      <c r="Y41" s="5"/>
      <c r="Z41" s="83"/>
      <c r="AA41" s="6"/>
      <c r="AB41" s="7"/>
      <c r="AC41" s="5"/>
      <c r="AD41" s="7"/>
      <c r="AE41" s="5"/>
      <c r="AF41" s="7"/>
      <c r="AG41" s="5"/>
      <c r="AH41" s="7"/>
      <c r="AI41" s="5"/>
      <c r="AJ41" s="7"/>
      <c r="AK41" s="5"/>
      <c r="AL41" s="7"/>
      <c r="AM41" s="5"/>
      <c r="AN41" s="7"/>
      <c r="AO41" s="5"/>
      <c r="AP41" s="5"/>
      <c r="AQ41" s="6"/>
      <c r="AR41" s="7"/>
      <c r="AS41" s="6"/>
      <c r="AT41" s="7"/>
      <c r="AU41" s="6"/>
      <c r="AV41" s="7"/>
      <c r="AW41" s="5"/>
      <c r="AX41" s="5"/>
      <c r="AY41" s="6"/>
      <c r="AZ41" s="7"/>
      <c r="BA41" s="6"/>
      <c r="BB41" s="7"/>
      <c r="BC41" s="5"/>
      <c r="BD41" s="7"/>
      <c r="BE41" s="5"/>
      <c r="BF41" s="7"/>
      <c r="BG41" s="5"/>
      <c r="BH41" s="5"/>
      <c r="BI41" s="6"/>
      <c r="BJ41" s="7"/>
      <c r="BK41" s="5"/>
      <c r="BL41" s="5"/>
      <c r="BM41" s="6"/>
      <c r="BN41" s="7"/>
      <c r="BO41" s="5"/>
      <c r="BP41" s="5"/>
      <c r="BQ41" s="6"/>
      <c r="BR41" s="7"/>
      <c r="BS41" s="5"/>
      <c r="BT41" s="5"/>
      <c r="BU41" s="6"/>
      <c r="BV41" s="7"/>
      <c r="BW41" s="5"/>
      <c r="BX41" s="5"/>
      <c r="BY41" s="6"/>
      <c r="BZ41" s="7"/>
      <c r="CA41" s="5"/>
      <c r="CB41" s="5"/>
      <c r="CC41" s="6"/>
      <c r="CD41" s="7"/>
      <c r="CE41" s="5"/>
      <c r="CF41" s="5"/>
      <c r="CG41" s="6"/>
    </row>
    <row r="42" spans="2:85" s="15" customFormat="1" ht="16.2" thickBot="1" x14ac:dyDescent="0.35">
      <c r="B42" s="16"/>
      <c r="C42" s="100"/>
      <c r="D42" s="35"/>
      <c r="E42" s="36">
        <f>SUM(F42:CG42)</f>
        <v>1.5</v>
      </c>
      <c r="F42" s="7"/>
      <c r="G42" s="5"/>
      <c r="H42" s="5"/>
      <c r="I42" s="83"/>
      <c r="J42" s="83"/>
      <c r="K42" s="83"/>
      <c r="L42" s="6"/>
      <c r="M42" s="7"/>
      <c r="N42" s="5"/>
      <c r="O42" s="7"/>
      <c r="P42" s="5"/>
      <c r="Q42" s="7"/>
      <c r="R42" s="5"/>
      <c r="S42" s="7"/>
      <c r="T42" s="5"/>
      <c r="U42" s="7"/>
      <c r="V42" s="5"/>
      <c r="W42" s="7">
        <v>1.5</v>
      </c>
      <c r="X42" s="5"/>
      <c r="Y42" s="5"/>
      <c r="Z42" s="83"/>
      <c r="AA42" s="6"/>
      <c r="AB42" s="7"/>
      <c r="AC42" s="5"/>
      <c r="AD42" s="7"/>
      <c r="AE42" s="5"/>
      <c r="AF42" s="7"/>
      <c r="AG42" s="5"/>
      <c r="AH42" s="7"/>
      <c r="AI42" s="5"/>
      <c r="AJ42" s="7"/>
      <c r="AK42" s="5"/>
      <c r="AL42" s="7"/>
      <c r="AM42" s="5"/>
      <c r="AN42" s="7"/>
      <c r="AO42" s="5"/>
      <c r="AP42" s="5"/>
      <c r="AQ42" s="6"/>
      <c r="AR42" s="7"/>
      <c r="AS42" s="6"/>
      <c r="AT42" s="7"/>
      <c r="AU42" s="6"/>
      <c r="AV42" s="7"/>
      <c r="AW42" s="5"/>
      <c r="AX42" s="5"/>
      <c r="AY42" s="6"/>
      <c r="AZ42" s="7"/>
      <c r="BA42" s="6"/>
      <c r="BB42" s="7"/>
      <c r="BC42" s="5"/>
      <c r="BD42" s="7"/>
      <c r="BE42" s="5"/>
      <c r="BF42" s="7"/>
      <c r="BG42" s="5"/>
      <c r="BH42" s="5"/>
      <c r="BI42" s="6"/>
      <c r="BJ42" s="7"/>
      <c r="BK42" s="5"/>
      <c r="BL42" s="5"/>
      <c r="BM42" s="6"/>
      <c r="BN42" s="7"/>
      <c r="BO42" s="5"/>
      <c r="BP42" s="5"/>
      <c r="BQ42" s="6"/>
      <c r="BR42" s="7"/>
      <c r="BS42" s="5"/>
      <c r="BT42" s="5"/>
      <c r="BU42" s="6"/>
      <c r="BV42" s="7"/>
      <c r="BW42" s="5"/>
      <c r="BX42" s="5"/>
      <c r="BY42" s="6"/>
      <c r="BZ42" s="7"/>
      <c r="CA42" s="5"/>
      <c r="CB42" s="5"/>
      <c r="CC42" s="6"/>
      <c r="CD42" s="7"/>
      <c r="CE42" s="5"/>
      <c r="CF42" s="5"/>
      <c r="CG42" s="6"/>
    </row>
    <row r="43" spans="2:85" s="15" customFormat="1" ht="16.2" thickBot="1" x14ac:dyDescent="0.35">
      <c r="B43" s="16"/>
      <c r="C43" s="100" t="s">
        <v>27</v>
      </c>
      <c r="D43" s="33">
        <f>SUM(F43:CG43)</f>
        <v>2</v>
      </c>
      <c r="E43" s="34"/>
      <c r="F43" s="7"/>
      <c r="G43" s="5"/>
      <c r="H43" s="5"/>
      <c r="I43" s="83"/>
      <c r="J43" s="83"/>
      <c r="K43" s="83"/>
      <c r="L43" s="6"/>
      <c r="M43" s="7"/>
      <c r="N43" s="5"/>
      <c r="O43" s="7"/>
      <c r="P43" s="5"/>
      <c r="Q43" s="7"/>
      <c r="R43" s="5"/>
      <c r="S43" s="7"/>
      <c r="T43" s="5"/>
      <c r="U43" s="7"/>
      <c r="V43" s="5"/>
      <c r="W43" s="7"/>
      <c r="X43" s="5">
        <v>2</v>
      </c>
      <c r="Y43" s="5"/>
      <c r="Z43" s="83"/>
      <c r="AA43" s="6"/>
      <c r="AB43" s="7"/>
      <c r="AC43" s="5"/>
      <c r="AD43" s="7"/>
      <c r="AE43" s="5"/>
      <c r="AF43" s="7"/>
      <c r="AG43" s="5"/>
      <c r="AH43" s="7"/>
      <c r="AI43" s="5"/>
      <c r="AJ43" s="7"/>
      <c r="AK43" s="5"/>
      <c r="AL43" s="7"/>
      <c r="AM43" s="5"/>
      <c r="AN43" s="7"/>
      <c r="AO43" s="5"/>
      <c r="AP43" s="5"/>
      <c r="AQ43" s="6"/>
      <c r="AR43" s="7"/>
      <c r="AS43" s="6"/>
      <c r="AT43" s="7"/>
      <c r="AU43" s="6"/>
      <c r="AV43" s="7"/>
      <c r="AW43" s="5"/>
      <c r="AX43" s="5"/>
      <c r="AY43" s="6"/>
      <c r="AZ43" s="7"/>
      <c r="BA43" s="6"/>
      <c r="BB43" s="7"/>
      <c r="BC43" s="5"/>
      <c r="BD43" s="7"/>
      <c r="BE43" s="5"/>
      <c r="BF43" s="7"/>
      <c r="BG43" s="5"/>
      <c r="BH43" s="5"/>
      <c r="BI43" s="6"/>
      <c r="BJ43" s="7"/>
      <c r="BK43" s="5"/>
      <c r="BL43" s="5"/>
      <c r="BM43" s="6"/>
      <c r="BN43" s="7"/>
      <c r="BO43" s="5"/>
      <c r="BP43" s="5"/>
      <c r="BQ43" s="6"/>
      <c r="BR43" s="7"/>
      <c r="BS43" s="5"/>
      <c r="BT43" s="5"/>
      <c r="BU43" s="6"/>
      <c r="BV43" s="7"/>
      <c r="BW43" s="5"/>
      <c r="BX43" s="5"/>
      <c r="BY43" s="6"/>
      <c r="BZ43" s="7"/>
      <c r="CA43" s="5"/>
      <c r="CB43" s="5"/>
      <c r="CC43" s="6"/>
      <c r="CD43" s="7"/>
      <c r="CE43" s="5"/>
      <c r="CF43" s="5"/>
      <c r="CG43" s="6"/>
    </row>
    <row r="44" spans="2:85" s="15" customFormat="1" ht="16.2" thickBot="1" x14ac:dyDescent="0.35">
      <c r="B44" s="16"/>
      <c r="C44" s="100"/>
      <c r="D44" s="35"/>
      <c r="E44" s="36">
        <f>SUM(F44:CG44)</f>
        <v>2</v>
      </c>
      <c r="F44" s="7"/>
      <c r="G44" s="5"/>
      <c r="H44" s="5"/>
      <c r="I44" s="83"/>
      <c r="J44" s="83"/>
      <c r="K44" s="83"/>
      <c r="L44" s="6"/>
      <c r="M44" s="7"/>
      <c r="N44" s="5"/>
      <c r="O44" s="7"/>
      <c r="P44" s="5"/>
      <c r="Q44" s="7"/>
      <c r="R44" s="5"/>
      <c r="S44" s="7"/>
      <c r="T44" s="5"/>
      <c r="U44" s="7"/>
      <c r="V44" s="5"/>
      <c r="W44" s="7"/>
      <c r="X44" s="5">
        <v>2</v>
      </c>
      <c r="Y44" s="5"/>
      <c r="Z44" s="83"/>
      <c r="AA44" s="6"/>
      <c r="AB44" s="7"/>
      <c r="AC44" s="5"/>
      <c r="AD44" s="7"/>
      <c r="AE44" s="5"/>
      <c r="AF44" s="7"/>
      <c r="AG44" s="5"/>
      <c r="AH44" s="7"/>
      <c r="AI44" s="5"/>
      <c r="AJ44" s="7"/>
      <c r="AK44" s="5"/>
      <c r="AL44" s="7"/>
      <c r="AM44" s="5"/>
      <c r="AN44" s="7"/>
      <c r="AO44" s="5"/>
      <c r="AP44" s="5"/>
      <c r="AQ44" s="6"/>
      <c r="AR44" s="7"/>
      <c r="AS44" s="6"/>
      <c r="AT44" s="7"/>
      <c r="AU44" s="6"/>
      <c r="AV44" s="7"/>
      <c r="AW44" s="5"/>
      <c r="AX44" s="5"/>
      <c r="AY44" s="6"/>
      <c r="AZ44" s="7"/>
      <c r="BA44" s="6"/>
      <c r="BB44" s="7"/>
      <c r="BC44" s="5"/>
      <c r="BD44" s="7"/>
      <c r="BE44" s="5"/>
      <c r="BF44" s="7"/>
      <c r="BG44" s="5"/>
      <c r="BH44" s="5"/>
      <c r="BI44" s="6"/>
      <c r="BJ44" s="7"/>
      <c r="BK44" s="5"/>
      <c r="BL44" s="5"/>
      <c r="BM44" s="6"/>
      <c r="BN44" s="7"/>
      <c r="BO44" s="5"/>
      <c r="BP44" s="5"/>
      <c r="BQ44" s="6"/>
      <c r="BR44" s="7"/>
      <c r="BS44" s="5"/>
      <c r="BT44" s="5"/>
      <c r="BU44" s="6"/>
      <c r="BV44" s="7"/>
      <c r="BW44" s="5"/>
      <c r="BX44" s="5"/>
      <c r="BY44" s="6"/>
      <c r="BZ44" s="7"/>
      <c r="CA44" s="5"/>
      <c r="CB44" s="5"/>
      <c r="CC44" s="6"/>
      <c r="CD44" s="7"/>
      <c r="CE44" s="5"/>
      <c r="CF44" s="5"/>
      <c r="CG44" s="6"/>
    </row>
    <row r="45" spans="2:85" s="15" customFormat="1" ht="15.6" x14ac:dyDescent="0.3">
      <c r="B45" s="16"/>
      <c r="C45" s="131" t="s">
        <v>28</v>
      </c>
      <c r="D45" s="33">
        <f>SUM(F45:CG45)</f>
        <v>1</v>
      </c>
      <c r="E45" s="34"/>
      <c r="F45" s="7"/>
      <c r="G45" s="5"/>
      <c r="H45" s="5"/>
      <c r="I45" s="83"/>
      <c r="J45" s="83"/>
      <c r="K45" s="83"/>
      <c r="L45" s="6"/>
      <c r="M45" s="7"/>
      <c r="N45" s="5"/>
      <c r="O45" s="7"/>
      <c r="P45" s="5"/>
      <c r="Q45" s="7"/>
      <c r="R45" s="5"/>
      <c r="S45" s="7"/>
      <c r="T45" s="5"/>
      <c r="U45" s="7"/>
      <c r="V45" s="5"/>
      <c r="W45" s="7"/>
      <c r="X45" s="5"/>
      <c r="Y45" s="5">
        <v>1</v>
      </c>
      <c r="Z45" s="83"/>
      <c r="AA45" s="6"/>
      <c r="AB45" s="7"/>
      <c r="AC45" s="5"/>
      <c r="AD45" s="7"/>
      <c r="AE45" s="5"/>
      <c r="AF45" s="7"/>
      <c r="AG45" s="5"/>
      <c r="AH45" s="7"/>
      <c r="AI45" s="5"/>
      <c r="AJ45" s="7"/>
      <c r="AK45" s="5"/>
      <c r="AL45" s="7"/>
      <c r="AM45" s="5"/>
      <c r="AN45" s="7"/>
      <c r="AO45" s="5"/>
      <c r="AP45" s="5"/>
      <c r="AQ45" s="6"/>
      <c r="AR45" s="7"/>
      <c r="AS45" s="6"/>
      <c r="AT45" s="7"/>
      <c r="AU45" s="6"/>
      <c r="AV45" s="7"/>
      <c r="AW45" s="5"/>
      <c r="AX45" s="5"/>
      <c r="AY45" s="6"/>
      <c r="AZ45" s="7"/>
      <c r="BA45" s="6"/>
      <c r="BB45" s="7"/>
      <c r="BC45" s="5"/>
      <c r="BD45" s="7"/>
      <c r="BE45" s="5"/>
      <c r="BF45" s="7"/>
      <c r="BG45" s="5"/>
      <c r="BH45" s="5"/>
      <c r="BI45" s="6"/>
      <c r="BJ45" s="7"/>
      <c r="BK45" s="5"/>
      <c r="BL45" s="5"/>
      <c r="BM45" s="6"/>
      <c r="BN45" s="7"/>
      <c r="BO45" s="5"/>
      <c r="BP45" s="5"/>
      <c r="BQ45" s="6"/>
      <c r="BR45" s="7"/>
      <c r="BS45" s="5"/>
      <c r="BT45" s="5"/>
      <c r="BU45" s="6"/>
      <c r="BV45" s="7"/>
      <c r="BW45" s="5"/>
      <c r="BX45" s="5"/>
      <c r="BY45" s="6"/>
      <c r="BZ45" s="7"/>
      <c r="CA45" s="5"/>
      <c r="CB45" s="5"/>
      <c r="CC45" s="6"/>
      <c r="CD45" s="7"/>
      <c r="CE45" s="5"/>
      <c r="CF45" s="5"/>
      <c r="CG45" s="6"/>
    </row>
    <row r="46" spans="2:85" s="15" customFormat="1" ht="16.2" thickBot="1" x14ac:dyDescent="0.35">
      <c r="B46" s="16"/>
      <c r="C46" s="132"/>
      <c r="D46" s="35"/>
      <c r="E46" s="36">
        <f>SUM(F46:CG46)</f>
        <v>1</v>
      </c>
      <c r="F46" s="7"/>
      <c r="G46" s="5"/>
      <c r="H46" s="5"/>
      <c r="I46" s="83"/>
      <c r="J46" s="83"/>
      <c r="K46" s="83"/>
      <c r="L46" s="6"/>
      <c r="M46" s="7"/>
      <c r="N46" s="5"/>
      <c r="O46" s="7"/>
      <c r="P46" s="5"/>
      <c r="Q46" s="7"/>
      <c r="R46" s="5"/>
      <c r="S46" s="7"/>
      <c r="T46" s="5"/>
      <c r="U46" s="7"/>
      <c r="V46" s="5"/>
      <c r="W46" s="7"/>
      <c r="X46" s="5"/>
      <c r="Y46" s="5">
        <v>1</v>
      </c>
      <c r="Z46" s="83"/>
      <c r="AA46" s="6"/>
      <c r="AB46" s="7"/>
      <c r="AC46" s="5"/>
      <c r="AD46" s="7"/>
      <c r="AE46" s="5"/>
      <c r="AF46" s="7"/>
      <c r="AG46" s="5"/>
      <c r="AH46" s="7"/>
      <c r="AI46" s="5"/>
      <c r="AJ46" s="7"/>
      <c r="AK46" s="5"/>
      <c r="AL46" s="7"/>
      <c r="AM46" s="5"/>
      <c r="AN46" s="7"/>
      <c r="AO46" s="5"/>
      <c r="AP46" s="5"/>
      <c r="AQ46" s="6"/>
      <c r="AR46" s="7"/>
      <c r="AS46" s="6"/>
      <c r="AT46" s="7"/>
      <c r="AU46" s="6"/>
      <c r="AV46" s="7"/>
      <c r="AW46" s="5"/>
      <c r="AX46" s="5"/>
      <c r="AY46" s="6"/>
      <c r="AZ46" s="7"/>
      <c r="BA46" s="6"/>
      <c r="BB46" s="7"/>
      <c r="BC46" s="5"/>
      <c r="BD46" s="7"/>
      <c r="BE46" s="5"/>
      <c r="BF46" s="7"/>
      <c r="BG46" s="5"/>
      <c r="BH46" s="5"/>
      <c r="BI46" s="6"/>
      <c r="BJ46" s="7"/>
      <c r="BK46" s="5"/>
      <c r="BL46" s="5"/>
      <c r="BM46" s="6"/>
      <c r="BN46" s="7"/>
      <c r="BO46" s="5"/>
      <c r="BP46" s="5"/>
      <c r="BQ46" s="6"/>
      <c r="BR46" s="7"/>
      <c r="BS46" s="5"/>
      <c r="BT46" s="5"/>
      <c r="BU46" s="6"/>
      <c r="BV46" s="7"/>
      <c r="BW46" s="5"/>
      <c r="BX46" s="5"/>
      <c r="BY46" s="6"/>
      <c r="BZ46" s="7"/>
      <c r="CA46" s="5"/>
      <c r="CB46" s="5"/>
      <c r="CC46" s="6"/>
      <c r="CD46" s="7"/>
      <c r="CE46" s="5"/>
      <c r="CF46" s="5"/>
      <c r="CG46" s="6"/>
    </row>
    <row r="47" spans="2:85" s="15" customFormat="1" ht="16.2" thickBot="1" x14ac:dyDescent="0.35">
      <c r="B47" s="16"/>
      <c r="C47" s="100" t="s">
        <v>29</v>
      </c>
      <c r="D47" s="33">
        <f>SUM(F47:CG47)</f>
        <v>0.5</v>
      </c>
      <c r="E47" s="34"/>
      <c r="F47" s="7"/>
      <c r="G47" s="5"/>
      <c r="H47" s="5"/>
      <c r="I47" s="83"/>
      <c r="J47" s="83"/>
      <c r="K47" s="83"/>
      <c r="L47" s="6"/>
      <c r="M47" s="7"/>
      <c r="N47" s="5"/>
      <c r="O47" s="7"/>
      <c r="P47" s="5"/>
      <c r="Q47" s="7"/>
      <c r="R47" s="5"/>
      <c r="S47" s="7"/>
      <c r="T47" s="5"/>
      <c r="U47" s="7"/>
      <c r="V47" s="5"/>
      <c r="W47" s="7"/>
      <c r="X47" s="5"/>
      <c r="Y47" s="5"/>
      <c r="Z47" s="83">
        <v>0.5</v>
      </c>
      <c r="AA47" s="6"/>
      <c r="AB47" s="7"/>
      <c r="AC47" s="5"/>
      <c r="AD47" s="7"/>
      <c r="AE47" s="5"/>
      <c r="AF47" s="7"/>
      <c r="AG47" s="5"/>
      <c r="AH47" s="7"/>
      <c r="AI47" s="5"/>
      <c r="AJ47" s="7"/>
      <c r="AK47" s="5"/>
      <c r="AL47" s="7"/>
      <c r="AM47" s="5"/>
      <c r="AN47" s="7"/>
      <c r="AO47" s="5"/>
      <c r="AP47" s="5"/>
      <c r="AQ47" s="6"/>
      <c r="AR47" s="7"/>
      <c r="AS47" s="6"/>
      <c r="AT47" s="7"/>
      <c r="AU47" s="6"/>
      <c r="AV47" s="7"/>
      <c r="AW47" s="5"/>
      <c r="AX47" s="5"/>
      <c r="AY47" s="6"/>
      <c r="AZ47" s="7"/>
      <c r="BA47" s="6"/>
      <c r="BB47" s="7"/>
      <c r="BC47" s="5"/>
      <c r="BD47" s="7"/>
      <c r="BE47" s="5"/>
      <c r="BF47" s="7"/>
      <c r="BG47" s="5"/>
      <c r="BH47" s="5"/>
      <c r="BI47" s="6"/>
      <c r="BJ47" s="7"/>
      <c r="BK47" s="5"/>
      <c r="BL47" s="5"/>
      <c r="BM47" s="6"/>
      <c r="BN47" s="7"/>
      <c r="BO47" s="5"/>
      <c r="BP47" s="5"/>
      <c r="BQ47" s="6"/>
      <c r="BR47" s="7"/>
      <c r="BS47" s="5"/>
      <c r="BT47" s="5"/>
      <c r="BU47" s="6"/>
      <c r="BV47" s="7"/>
      <c r="BW47" s="5"/>
      <c r="BX47" s="5"/>
      <c r="BY47" s="6"/>
      <c r="BZ47" s="7"/>
      <c r="CA47" s="5"/>
      <c r="CB47" s="5"/>
      <c r="CC47" s="6"/>
      <c r="CD47" s="7"/>
      <c r="CE47" s="5"/>
      <c r="CF47" s="5"/>
      <c r="CG47" s="6"/>
    </row>
    <row r="48" spans="2:85" s="15" customFormat="1" ht="16.2" thickBot="1" x14ac:dyDescent="0.35">
      <c r="B48" s="16"/>
      <c r="C48" s="100"/>
      <c r="D48" s="35"/>
      <c r="E48" s="36">
        <f>SUM(F48:CG48)</f>
        <v>0.5</v>
      </c>
      <c r="F48" s="7"/>
      <c r="G48" s="5"/>
      <c r="H48" s="5"/>
      <c r="I48" s="83"/>
      <c r="J48" s="83"/>
      <c r="K48" s="83"/>
      <c r="L48" s="6"/>
      <c r="M48" s="7"/>
      <c r="N48" s="5"/>
      <c r="O48" s="7"/>
      <c r="P48" s="5"/>
      <c r="Q48" s="7"/>
      <c r="R48" s="5"/>
      <c r="S48" s="7"/>
      <c r="T48" s="5"/>
      <c r="U48" s="7"/>
      <c r="V48" s="5"/>
      <c r="W48" s="7"/>
      <c r="X48" s="5"/>
      <c r="Y48" s="5"/>
      <c r="Z48" s="83">
        <v>0.5</v>
      </c>
      <c r="AA48" s="6"/>
      <c r="AB48" s="7"/>
      <c r="AC48" s="5"/>
      <c r="AD48" s="7"/>
      <c r="AE48" s="5"/>
      <c r="AF48" s="7"/>
      <c r="AG48" s="5"/>
      <c r="AH48" s="7"/>
      <c r="AI48" s="5"/>
      <c r="AJ48" s="7"/>
      <c r="AK48" s="5"/>
      <c r="AL48" s="7"/>
      <c r="AM48" s="5"/>
      <c r="AN48" s="7"/>
      <c r="AO48" s="5"/>
      <c r="AP48" s="5"/>
      <c r="AQ48" s="6"/>
      <c r="AR48" s="7"/>
      <c r="AS48" s="6"/>
      <c r="AT48" s="7"/>
      <c r="AU48" s="6"/>
      <c r="AV48" s="7"/>
      <c r="AW48" s="5"/>
      <c r="AX48" s="5"/>
      <c r="AY48" s="6"/>
      <c r="AZ48" s="7"/>
      <c r="BA48" s="6"/>
      <c r="BB48" s="7"/>
      <c r="BC48" s="5"/>
      <c r="BD48" s="7"/>
      <c r="BE48" s="5"/>
      <c r="BF48" s="7"/>
      <c r="BG48" s="5"/>
      <c r="BH48" s="5"/>
      <c r="BI48" s="6"/>
      <c r="BJ48" s="7"/>
      <c r="BK48" s="5"/>
      <c r="BL48" s="5"/>
      <c r="BM48" s="6"/>
      <c r="BN48" s="7"/>
      <c r="BO48" s="5"/>
      <c r="BP48" s="5"/>
      <c r="BQ48" s="6"/>
      <c r="BR48" s="7"/>
      <c r="BS48" s="5"/>
      <c r="BT48" s="5"/>
      <c r="BU48" s="6"/>
      <c r="BV48" s="7"/>
      <c r="BW48" s="5"/>
      <c r="BX48" s="5"/>
      <c r="BY48" s="6"/>
      <c r="BZ48" s="7"/>
      <c r="CA48" s="5"/>
      <c r="CB48" s="5"/>
      <c r="CC48" s="6"/>
      <c r="CD48" s="7"/>
      <c r="CE48" s="5"/>
      <c r="CF48" s="5"/>
      <c r="CG48" s="6"/>
    </row>
    <row r="49" spans="2:85" s="15" customFormat="1" ht="18.75" customHeight="1" thickBot="1" x14ac:dyDescent="0.35">
      <c r="B49" s="16"/>
      <c r="C49" s="100" t="s">
        <v>30</v>
      </c>
      <c r="D49" s="33">
        <f>SUM(F49:CG49)</f>
        <v>1</v>
      </c>
      <c r="E49" s="49"/>
      <c r="F49" s="7"/>
      <c r="G49" s="5"/>
      <c r="H49" s="5"/>
      <c r="I49" s="83"/>
      <c r="J49" s="83"/>
      <c r="K49" s="83"/>
      <c r="L49" s="6"/>
      <c r="M49" s="7"/>
      <c r="N49" s="5"/>
      <c r="O49" s="7"/>
      <c r="P49" s="5"/>
      <c r="Q49" s="7"/>
      <c r="R49" s="5"/>
      <c r="S49" s="7"/>
      <c r="T49" s="5"/>
      <c r="U49" s="7"/>
      <c r="V49" s="5"/>
      <c r="W49" s="7"/>
      <c r="X49" s="5"/>
      <c r="Y49" s="5"/>
      <c r="Z49" s="83"/>
      <c r="AA49" s="6">
        <v>1</v>
      </c>
      <c r="AB49" s="7"/>
      <c r="AC49" s="5"/>
      <c r="AD49" s="7"/>
      <c r="AE49" s="5"/>
      <c r="AF49" s="7"/>
      <c r="AG49" s="5"/>
      <c r="AH49" s="7"/>
      <c r="AI49" s="5"/>
      <c r="AJ49" s="7"/>
      <c r="AK49" s="5"/>
      <c r="AL49" s="7"/>
      <c r="AM49" s="5"/>
      <c r="AN49" s="7"/>
      <c r="AO49" s="5"/>
      <c r="AP49" s="5"/>
      <c r="AQ49" s="6"/>
      <c r="AR49" s="7"/>
      <c r="AS49" s="6"/>
      <c r="AT49" s="7"/>
      <c r="AU49" s="6"/>
      <c r="AV49" s="7"/>
      <c r="AW49" s="5"/>
      <c r="AX49" s="5"/>
      <c r="AY49" s="6"/>
      <c r="AZ49" s="7"/>
      <c r="BA49" s="6"/>
      <c r="BB49" s="7"/>
      <c r="BC49" s="5"/>
      <c r="BD49" s="7"/>
      <c r="BE49" s="5"/>
      <c r="BF49" s="7"/>
      <c r="BG49" s="5"/>
      <c r="BH49" s="5"/>
      <c r="BI49" s="6"/>
      <c r="BJ49" s="7"/>
      <c r="BK49" s="5"/>
      <c r="BL49" s="5"/>
      <c r="BM49" s="6"/>
      <c r="BN49" s="7"/>
      <c r="BO49" s="5"/>
      <c r="BP49" s="5"/>
      <c r="BQ49" s="6"/>
      <c r="BR49" s="7"/>
      <c r="BS49" s="5"/>
      <c r="BT49" s="5"/>
      <c r="BU49" s="6"/>
      <c r="BV49" s="7"/>
      <c r="BW49" s="5"/>
      <c r="BX49" s="5"/>
      <c r="BY49" s="6"/>
      <c r="BZ49" s="7"/>
      <c r="CA49" s="5"/>
      <c r="CB49" s="5"/>
      <c r="CC49" s="6"/>
      <c r="CD49" s="7"/>
      <c r="CE49" s="5"/>
      <c r="CF49" s="5"/>
      <c r="CG49" s="6"/>
    </row>
    <row r="50" spans="2:85" s="15" customFormat="1" ht="16.5" customHeight="1" thickBot="1" x14ac:dyDescent="0.35">
      <c r="B50" s="16"/>
      <c r="C50" s="100"/>
      <c r="D50" s="78"/>
      <c r="E50" s="36">
        <f>SUM(F50:CG50)</f>
        <v>1</v>
      </c>
      <c r="F50" s="7"/>
      <c r="G50" s="5"/>
      <c r="H50" s="5"/>
      <c r="I50" s="83"/>
      <c r="J50" s="83"/>
      <c r="K50" s="83"/>
      <c r="L50" s="6"/>
      <c r="M50" s="7"/>
      <c r="N50" s="5"/>
      <c r="O50" s="7"/>
      <c r="P50" s="5"/>
      <c r="Q50" s="7"/>
      <c r="R50" s="5"/>
      <c r="S50" s="7"/>
      <c r="T50" s="5"/>
      <c r="U50" s="7"/>
      <c r="V50" s="5"/>
      <c r="W50" s="7"/>
      <c r="X50" s="5"/>
      <c r="Y50" s="5"/>
      <c r="Z50" s="83"/>
      <c r="AA50" s="6">
        <v>1</v>
      </c>
      <c r="AB50" s="7"/>
      <c r="AC50" s="5"/>
      <c r="AD50" s="7"/>
      <c r="AE50" s="5"/>
      <c r="AF50" s="7"/>
      <c r="AG50" s="5"/>
      <c r="AH50" s="7"/>
      <c r="AI50" s="5"/>
      <c r="AJ50" s="7"/>
      <c r="AK50" s="5"/>
      <c r="AL50" s="7"/>
      <c r="AM50" s="5"/>
      <c r="AN50" s="7"/>
      <c r="AO50" s="5"/>
      <c r="AP50" s="5"/>
      <c r="AQ50" s="6"/>
      <c r="AR50" s="7"/>
      <c r="AS50" s="6"/>
      <c r="AT50" s="7"/>
      <c r="AU50" s="6"/>
      <c r="AV50" s="7"/>
      <c r="AW50" s="5"/>
      <c r="AX50" s="5"/>
      <c r="AY50" s="6"/>
      <c r="AZ50" s="7"/>
      <c r="BA50" s="6"/>
      <c r="BB50" s="7"/>
      <c r="BC50" s="5"/>
      <c r="BD50" s="7"/>
      <c r="BE50" s="5"/>
      <c r="BF50" s="7"/>
      <c r="BG50" s="5"/>
      <c r="BH50" s="5"/>
      <c r="BI50" s="6"/>
      <c r="BJ50" s="7"/>
      <c r="BK50" s="5"/>
      <c r="BL50" s="5"/>
      <c r="BM50" s="6"/>
      <c r="BN50" s="7"/>
      <c r="BO50" s="5"/>
      <c r="BP50" s="5"/>
      <c r="BQ50" s="6"/>
      <c r="BR50" s="7"/>
      <c r="BS50" s="5"/>
      <c r="BT50" s="5"/>
      <c r="BU50" s="6"/>
      <c r="BV50" s="7"/>
      <c r="BW50" s="5"/>
      <c r="BX50" s="5"/>
      <c r="BY50" s="6"/>
      <c r="BZ50" s="7"/>
      <c r="CA50" s="5"/>
      <c r="CB50" s="5"/>
      <c r="CC50" s="6"/>
      <c r="CD50" s="7"/>
      <c r="CE50" s="5"/>
      <c r="CF50" s="5"/>
      <c r="CG50" s="6"/>
    </row>
    <row r="51" spans="2:85" s="15" customFormat="1" ht="16.2" thickBot="1" x14ac:dyDescent="0.35">
      <c r="B51" s="16"/>
      <c r="C51" s="100" t="s">
        <v>85</v>
      </c>
      <c r="D51" s="33">
        <f>SUM(F51:CG51)</f>
        <v>34</v>
      </c>
      <c r="E51" s="34"/>
      <c r="F51" s="7"/>
      <c r="G51" s="5"/>
      <c r="H51" s="5"/>
      <c r="I51" s="83"/>
      <c r="J51" s="83"/>
      <c r="K51" s="83"/>
      <c r="L51" s="6"/>
      <c r="M51" s="7"/>
      <c r="N51" s="5"/>
      <c r="O51" s="7"/>
      <c r="P51" s="5"/>
      <c r="Q51" s="7"/>
      <c r="R51" s="5"/>
      <c r="S51" s="7"/>
      <c r="T51" s="5"/>
      <c r="U51" s="7"/>
      <c r="V51" s="5"/>
      <c r="W51" s="7"/>
      <c r="X51" s="5"/>
      <c r="Y51" s="5"/>
      <c r="Z51" s="83"/>
      <c r="AA51" s="6"/>
      <c r="AB51" s="7">
        <v>6.8</v>
      </c>
      <c r="AC51" s="5"/>
      <c r="AD51" s="7">
        <v>6.8</v>
      </c>
      <c r="AE51" s="5"/>
      <c r="AF51" s="7">
        <v>6.8</v>
      </c>
      <c r="AG51" s="5"/>
      <c r="AH51" s="7">
        <v>6.8</v>
      </c>
      <c r="AI51" s="5"/>
      <c r="AJ51" s="7">
        <v>6.8</v>
      </c>
      <c r="AK51" s="5"/>
      <c r="AL51" s="7"/>
      <c r="AM51" s="5"/>
      <c r="AN51" s="7"/>
      <c r="AO51" s="5"/>
      <c r="AP51" s="5"/>
      <c r="AQ51" s="6"/>
      <c r="AR51" s="7"/>
      <c r="AS51" s="6"/>
      <c r="AT51" s="7"/>
      <c r="AU51" s="6"/>
      <c r="AV51" s="7"/>
      <c r="AW51" s="5"/>
      <c r="AX51" s="5"/>
      <c r="AY51" s="6"/>
      <c r="AZ51" s="7"/>
      <c r="BA51" s="6"/>
      <c r="BB51" s="7"/>
      <c r="BC51" s="5"/>
      <c r="BD51" s="7"/>
      <c r="BE51" s="5"/>
      <c r="BF51" s="7"/>
      <c r="BG51" s="5"/>
      <c r="BH51" s="5"/>
      <c r="BI51" s="6"/>
      <c r="BJ51" s="7"/>
      <c r="BK51" s="5"/>
      <c r="BL51" s="5"/>
      <c r="BM51" s="6"/>
      <c r="BN51" s="7"/>
      <c r="BO51" s="5"/>
      <c r="BP51" s="5"/>
      <c r="BQ51" s="6"/>
      <c r="BR51" s="7"/>
      <c r="BS51" s="5"/>
      <c r="BT51" s="5"/>
      <c r="BU51" s="6"/>
      <c r="BV51" s="7"/>
      <c r="BW51" s="5"/>
      <c r="BX51" s="5"/>
      <c r="BY51" s="6"/>
      <c r="BZ51" s="7"/>
      <c r="CA51" s="5"/>
      <c r="CB51" s="5"/>
      <c r="CC51" s="6"/>
      <c r="CD51" s="7"/>
      <c r="CE51" s="5"/>
      <c r="CF51" s="5"/>
      <c r="CG51" s="6"/>
    </row>
    <row r="52" spans="2:85" s="15" customFormat="1" ht="16.2" thickBot="1" x14ac:dyDescent="0.35">
      <c r="B52" s="16"/>
      <c r="C52" s="100"/>
      <c r="D52" s="35"/>
      <c r="E52" s="36">
        <f>SUM(F52:CG52)</f>
        <v>34</v>
      </c>
      <c r="F52" s="7"/>
      <c r="G52" s="5"/>
      <c r="H52" s="5"/>
      <c r="I52" s="83"/>
      <c r="J52" s="83"/>
      <c r="K52" s="83"/>
      <c r="L52" s="6"/>
      <c r="M52" s="7"/>
      <c r="N52" s="5"/>
      <c r="O52" s="7"/>
      <c r="P52" s="5"/>
      <c r="Q52" s="7"/>
      <c r="R52" s="5"/>
      <c r="S52" s="7"/>
      <c r="T52" s="5"/>
      <c r="U52" s="7"/>
      <c r="V52" s="5"/>
      <c r="W52" s="7"/>
      <c r="X52" s="5"/>
      <c r="Y52" s="5"/>
      <c r="Z52" s="83"/>
      <c r="AA52" s="6"/>
      <c r="AB52" s="7">
        <v>6.8</v>
      </c>
      <c r="AC52" s="5"/>
      <c r="AD52" s="7">
        <v>6.8</v>
      </c>
      <c r="AE52" s="5"/>
      <c r="AF52" s="7">
        <v>6.8</v>
      </c>
      <c r="AG52" s="5"/>
      <c r="AH52" s="7">
        <v>6.8</v>
      </c>
      <c r="AI52" s="5"/>
      <c r="AJ52" s="7">
        <v>6.8</v>
      </c>
      <c r="AK52" s="5"/>
      <c r="AL52" s="7"/>
      <c r="AM52" s="5"/>
      <c r="AN52" s="7"/>
      <c r="AO52" s="5"/>
      <c r="AP52" s="5"/>
      <c r="AQ52" s="6"/>
      <c r="AR52" s="7"/>
      <c r="AS52" s="6"/>
      <c r="AT52" s="7"/>
      <c r="AU52" s="6"/>
      <c r="AV52" s="7"/>
      <c r="AW52" s="5"/>
      <c r="AX52" s="5"/>
      <c r="AY52" s="6"/>
      <c r="AZ52" s="7"/>
      <c r="BA52" s="6"/>
      <c r="BB52" s="7"/>
      <c r="BC52" s="5"/>
      <c r="BD52" s="7"/>
      <c r="BE52" s="5"/>
      <c r="BF52" s="7"/>
      <c r="BG52" s="5"/>
      <c r="BH52" s="5"/>
      <c r="BI52" s="6"/>
      <c r="BJ52" s="7"/>
      <c r="BK52" s="5"/>
      <c r="BL52" s="5"/>
      <c r="BM52" s="6"/>
      <c r="BN52" s="7"/>
      <c r="BO52" s="5"/>
      <c r="BP52" s="5"/>
      <c r="BQ52" s="6"/>
      <c r="BR52" s="7"/>
      <c r="BS52" s="5"/>
      <c r="BT52" s="5"/>
      <c r="BU52" s="6"/>
      <c r="BV52" s="7"/>
      <c r="BW52" s="5"/>
      <c r="BX52" s="5"/>
      <c r="BY52" s="6"/>
      <c r="BZ52" s="7"/>
      <c r="CA52" s="5"/>
      <c r="CB52" s="5"/>
      <c r="CC52" s="6"/>
      <c r="CD52" s="7"/>
      <c r="CE52" s="5"/>
      <c r="CF52" s="5"/>
      <c r="CG52" s="6"/>
    </row>
    <row r="53" spans="2:85" s="15" customFormat="1" ht="16.2" hidden="1" thickBot="1" x14ac:dyDescent="0.35">
      <c r="B53" s="16"/>
      <c r="C53" s="100" t="s">
        <v>31</v>
      </c>
      <c r="D53" s="33">
        <f>SUM(F53:CG53)</f>
        <v>0</v>
      </c>
      <c r="E53" s="34"/>
      <c r="F53" s="7"/>
      <c r="G53" s="5"/>
      <c r="H53" s="5"/>
      <c r="I53" s="83"/>
      <c r="J53" s="83"/>
      <c r="K53" s="83"/>
      <c r="L53" s="6"/>
      <c r="M53" s="7"/>
      <c r="N53" s="5"/>
      <c r="O53" s="7"/>
      <c r="P53" s="5"/>
      <c r="Q53" s="7"/>
      <c r="R53" s="5"/>
      <c r="S53" s="7"/>
      <c r="T53" s="5"/>
      <c r="U53" s="7"/>
      <c r="V53" s="5"/>
      <c r="W53" s="7"/>
      <c r="X53" s="5"/>
      <c r="Y53" s="5"/>
      <c r="Z53" s="83"/>
      <c r="AA53" s="6"/>
      <c r="AB53" s="7"/>
      <c r="AC53" s="5"/>
      <c r="AD53" s="7"/>
      <c r="AE53" s="5"/>
      <c r="AF53" s="7"/>
      <c r="AG53" s="5"/>
      <c r="AH53" s="7"/>
      <c r="AI53" s="5"/>
      <c r="AJ53" s="7"/>
      <c r="AK53" s="5"/>
      <c r="AL53" s="7"/>
      <c r="AM53" s="5"/>
      <c r="AN53" s="7"/>
      <c r="AO53" s="5"/>
      <c r="AP53" s="5"/>
      <c r="AQ53" s="6"/>
      <c r="AR53" s="7"/>
      <c r="AS53" s="6"/>
      <c r="AT53" s="7"/>
      <c r="AU53" s="6"/>
      <c r="AV53" s="7"/>
      <c r="AW53" s="5"/>
      <c r="AX53" s="5"/>
      <c r="AY53" s="6"/>
      <c r="AZ53" s="7"/>
      <c r="BA53" s="6"/>
      <c r="BB53" s="7"/>
      <c r="BC53" s="5"/>
      <c r="BD53" s="7"/>
      <c r="BE53" s="5"/>
      <c r="BF53" s="7"/>
      <c r="BG53" s="5"/>
      <c r="BH53" s="5"/>
      <c r="BI53" s="6"/>
      <c r="BJ53" s="7"/>
      <c r="BK53" s="5"/>
      <c r="BL53" s="5"/>
      <c r="BM53" s="6"/>
      <c r="BN53" s="7"/>
      <c r="BO53" s="5"/>
      <c r="BP53" s="5"/>
      <c r="BQ53" s="6"/>
      <c r="BR53" s="7"/>
      <c r="BS53" s="5"/>
      <c r="BT53" s="5"/>
      <c r="BU53" s="6"/>
      <c r="BV53" s="7"/>
      <c r="BW53" s="5"/>
      <c r="BX53" s="5"/>
      <c r="BY53" s="6"/>
      <c r="BZ53" s="7"/>
      <c r="CA53" s="5"/>
      <c r="CB53" s="5"/>
      <c r="CC53" s="6"/>
      <c r="CD53" s="7"/>
      <c r="CE53" s="5"/>
      <c r="CF53" s="5"/>
      <c r="CG53" s="6"/>
    </row>
    <row r="54" spans="2:85" s="15" customFormat="1" ht="16.2" hidden="1" thickBot="1" x14ac:dyDescent="0.35">
      <c r="B54" s="16"/>
      <c r="C54" s="100"/>
      <c r="D54" s="35"/>
      <c r="E54" s="36">
        <f>SUM(F54:CG54)</f>
        <v>0</v>
      </c>
      <c r="F54" s="7"/>
      <c r="G54" s="5"/>
      <c r="H54" s="5"/>
      <c r="I54" s="83"/>
      <c r="J54" s="83"/>
      <c r="K54" s="83"/>
      <c r="L54" s="6"/>
      <c r="M54" s="7"/>
      <c r="N54" s="5"/>
      <c r="O54" s="7"/>
      <c r="P54" s="5"/>
      <c r="Q54" s="7"/>
      <c r="R54" s="5"/>
      <c r="S54" s="7"/>
      <c r="T54" s="5"/>
      <c r="U54" s="7"/>
      <c r="V54" s="5"/>
      <c r="W54" s="7"/>
      <c r="X54" s="5"/>
      <c r="Y54" s="5"/>
      <c r="Z54" s="83"/>
      <c r="AA54" s="6"/>
      <c r="AB54" s="7"/>
      <c r="AC54" s="5"/>
      <c r="AD54" s="7"/>
      <c r="AE54" s="5"/>
      <c r="AF54" s="7"/>
      <c r="AG54" s="5"/>
      <c r="AH54" s="7"/>
      <c r="AI54" s="5"/>
      <c r="AJ54" s="7"/>
      <c r="AK54" s="5"/>
      <c r="AL54" s="7"/>
      <c r="AM54" s="5"/>
      <c r="AN54" s="7"/>
      <c r="AO54" s="5"/>
      <c r="AP54" s="5"/>
      <c r="AQ54" s="6"/>
      <c r="AR54" s="7"/>
      <c r="AS54" s="6"/>
      <c r="AT54" s="7"/>
      <c r="AU54" s="6"/>
      <c r="AV54" s="7"/>
      <c r="AW54" s="5"/>
      <c r="AX54" s="5"/>
      <c r="AY54" s="6"/>
      <c r="AZ54" s="7"/>
      <c r="BA54" s="6"/>
      <c r="BB54" s="7"/>
      <c r="BC54" s="5"/>
      <c r="BD54" s="7"/>
      <c r="BE54" s="5"/>
      <c r="BF54" s="7"/>
      <c r="BG54" s="5"/>
      <c r="BH54" s="5"/>
      <c r="BI54" s="6"/>
      <c r="BJ54" s="7"/>
      <c r="BK54" s="5"/>
      <c r="BL54" s="5"/>
      <c r="BM54" s="6"/>
      <c r="BN54" s="7"/>
      <c r="BO54" s="5"/>
      <c r="BP54" s="5"/>
      <c r="BQ54" s="6"/>
      <c r="BR54" s="7"/>
      <c r="BS54" s="5"/>
      <c r="BT54" s="5"/>
      <c r="BU54" s="6"/>
      <c r="BV54" s="7"/>
      <c r="BW54" s="5"/>
      <c r="BX54" s="5"/>
      <c r="BY54" s="6"/>
      <c r="BZ54" s="7"/>
      <c r="CA54" s="5"/>
      <c r="CB54" s="5"/>
      <c r="CC54" s="6"/>
      <c r="CD54" s="7"/>
      <c r="CE54" s="5"/>
      <c r="CF54" s="5"/>
      <c r="CG54" s="6"/>
    </row>
    <row r="55" spans="2:85" s="15" customFormat="1" ht="16.2" hidden="1" thickBot="1" x14ac:dyDescent="0.35">
      <c r="B55" s="16"/>
      <c r="C55" s="143" t="s">
        <v>32</v>
      </c>
      <c r="D55" s="33">
        <f>SUM(F55:CG55)</f>
        <v>0</v>
      </c>
      <c r="E55" s="34"/>
      <c r="F55" s="7"/>
      <c r="G55" s="5"/>
      <c r="H55" s="5"/>
      <c r="I55" s="83"/>
      <c r="J55" s="83"/>
      <c r="K55" s="83"/>
      <c r="L55" s="6"/>
      <c r="M55" s="7"/>
      <c r="N55" s="5"/>
      <c r="O55" s="7"/>
      <c r="P55" s="5"/>
      <c r="Q55" s="7"/>
      <c r="R55" s="5"/>
      <c r="S55" s="7"/>
      <c r="T55" s="5"/>
      <c r="U55" s="7"/>
      <c r="V55" s="5"/>
      <c r="W55" s="7"/>
      <c r="X55" s="5"/>
      <c r="Y55" s="5"/>
      <c r="Z55" s="83"/>
      <c r="AA55" s="6"/>
      <c r="AB55" s="7"/>
      <c r="AC55" s="5"/>
      <c r="AD55" s="7"/>
      <c r="AE55" s="5"/>
      <c r="AF55" s="7"/>
      <c r="AG55" s="5"/>
      <c r="AH55" s="7"/>
      <c r="AI55" s="5"/>
      <c r="AJ55" s="7"/>
      <c r="AK55" s="5"/>
      <c r="AL55" s="7"/>
      <c r="AM55" s="5"/>
      <c r="AN55" s="7"/>
      <c r="AO55" s="5"/>
      <c r="AP55" s="5"/>
      <c r="AQ55" s="6"/>
      <c r="AR55" s="7"/>
      <c r="AS55" s="6"/>
      <c r="AT55" s="7"/>
      <c r="AU55" s="6"/>
      <c r="AV55" s="7"/>
      <c r="AW55" s="5"/>
      <c r="AX55" s="5"/>
      <c r="AY55" s="6"/>
      <c r="AZ55" s="7"/>
      <c r="BA55" s="6"/>
      <c r="BB55" s="7"/>
      <c r="BC55" s="5"/>
      <c r="BD55" s="7"/>
      <c r="BE55" s="5"/>
      <c r="BF55" s="7"/>
      <c r="BG55" s="5"/>
      <c r="BH55" s="5"/>
      <c r="BI55" s="6"/>
      <c r="BJ55" s="7"/>
      <c r="BK55" s="5"/>
      <c r="BL55" s="5"/>
      <c r="BM55" s="6"/>
      <c r="BN55" s="7"/>
      <c r="BO55" s="5"/>
      <c r="BP55" s="5"/>
      <c r="BQ55" s="6"/>
      <c r="BR55" s="7"/>
      <c r="BS55" s="5"/>
      <c r="BT55" s="5"/>
      <c r="BU55" s="6"/>
      <c r="BV55" s="7"/>
      <c r="BW55" s="5"/>
      <c r="BX55" s="5"/>
      <c r="BY55" s="6"/>
      <c r="BZ55" s="7"/>
      <c r="CA55" s="5"/>
      <c r="CB55" s="5"/>
      <c r="CC55" s="6"/>
      <c r="CD55" s="7"/>
      <c r="CE55" s="5"/>
      <c r="CF55" s="5"/>
      <c r="CG55" s="6"/>
    </row>
    <row r="56" spans="2:85" s="15" customFormat="1" ht="16.2" hidden="1" thickBot="1" x14ac:dyDescent="0.35">
      <c r="B56" s="16"/>
      <c r="C56" s="143"/>
      <c r="D56" s="35"/>
      <c r="E56" s="36">
        <f>SUM(F56:CG56)</f>
        <v>0</v>
      </c>
      <c r="F56" s="7"/>
      <c r="G56" s="5"/>
      <c r="H56" s="5"/>
      <c r="I56" s="83"/>
      <c r="J56" s="83"/>
      <c r="K56" s="83"/>
      <c r="L56" s="6"/>
      <c r="M56" s="7"/>
      <c r="N56" s="5"/>
      <c r="O56" s="7"/>
      <c r="P56" s="5"/>
      <c r="Q56" s="7"/>
      <c r="R56" s="5"/>
      <c r="S56" s="7"/>
      <c r="T56" s="5"/>
      <c r="U56" s="7"/>
      <c r="V56" s="5"/>
      <c r="W56" s="7"/>
      <c r="X56" s="5"/>
      <c r="Y56" s="5"/>
      <c r="Z56" s="83"/>
      <c r="AA56" s="6"/>
      <c r="AB56" s="7"/>
      <c r="AC56" s="5"/>
      <c r="AD56" s="7"/>
      <c r="AE56" s="5"/>
      <c r="AF56" s="7"/>
      <c r="AG56" s="5"/>
      <c r="AH56" s="7"/>
      <c r="AI56" s="5"/>
      <c r="AJ56" s="7"/>
      <c r="AK56" s="5"/>
      <c r="AL56" s="7"/>
      <c r="AM56" s="5"/>
      <c r="AN56" s="7"/>
      <c r="AO56" s="5"/>
      <c r="AP56" s="5"/>
      <c r="AQ56" s="6"/>
      <c r="AR56" s="7"/>
      <c r="AS56" s="6"/>
      <c r="AT56" s="7"/>
      <c r="AU56" s="6"/>
      <c r="AV56" s="7"/>
      <c r="AW56" s="5"/>
      <c r="AX56" s="5"/>
      <c r="AY56" s="6"/>
      <c r="AZ56" s="7"/>
      <c r="BA56" s="6"/>
      <c r="BB56" s="7"/>
      <c r="BC56" s="5"/>
      <c r="BD56" s="7"/>
      <c r="BE56" s="5"/>
      <c r="BF56" s="7"/>
      <c r="BG56" s="5"/>
      <c r="BH56" s="5"/>
      <c r="BI56" s="6"/>
      <c r="BJ56" s="7"/>
      <c r="BK56" s="5"/>
      <c r="BL56" s="5"/>
      <c r="BM56" s="6"/>
      <c r="BN56" s="7"/>
      <c r="BO56" s="5"/>
      <c r="BP56" s="5"/>
      <c r="BQ56" s="6"/>
      <c r="BR56" s="7"/>
      <c r="BS56" s="5"/>
      <c r="BT56" s="5"/>
      <c r="BU56" s="6"/>
      <c r="BV56" s="7"/>
      <c r="BW56" s="5"/>
      <c r="BX56" s="5"/>
      <c r="BY56" s="6"/>
      <c r="BZ56" s="7"/>
      <c r="CA56" s="5"/>
      <c r="CB56" s="5"/>
      <c r="CC56" s="6"/>
      <c r="CD56" s="7"/>
      <c r="CE56" s="5"/>
      <c r="CF56" s="5"/>
      <c r="CG56" s="6"/>
    </row>
    <row r="57" spans="2:85" s="15" customFormat="1" ht="15.75" hidden="1" customHeight="1" thickBot="1" x14ac:dyDescent="0.35">
      <c r="B57" s="16"/>
      <c r="C57" s="143" t="s">
        <v>33</v>
      </c>
      <c r="D57" s="33">
        <f>SUM(F57:CG57)</f>
        <v>0</v>
      </c>
      <c r="E57" s="34"/>
      <c r="F57" s="7"/>
      <c r="G57" s="5"/>
      <c r="H57" s="5"/>
      <c r="I57" s="83"/>
      <c r="J57" s="83"/>
      <c r="K57" s="83"/>
      <c r="L57" s="6"/>
      <c r="M57" s="7"/>
      <c r="N57" s="5"/>
      <c r="O57" s="7"/>
      <c r="P57" s="5"/>
      <c r="Q57" s="7"/>
      <c r="R57" s="5"/>
      <c r="S57" s="7"/>
      <c r="T57" s="5"/>
      <c r="U57" s="7"/>
      <c r="V57" s="5"/>
      <c r="W57" s="7"/>
      <c r="X57" s="5"/>
      <c r="Y57" s="5"/>
      <c r="Z57" s="83"/>
      <c r="AA57" s="6"/>
      <c r="AB57" s="7"/>
      <c r="AC57" s="5"/>
      <c r="AD57" s="7"/>
      <c r="AE57" s="5"/>
      <c r="AF57" s="7"/>
      <c r="AG57" s="5"/>
      <c r="AH57" s="7"/>
      <c r="AI57" s="5"/>
      <c r="AJ57" s="7"/>
      <c r="AK57" s="5"/>
      <c r="AL57" s="7"/>
      <c r="AM57" s="5"/>
      <c r="AN57" s="7"/>
      <c r="AO57" s="5"/>
      <c r="AP57" s="5"/>
      <c r="AQ57" s="6"/>
      <c r="AR57" s="7"/>
      <c r="AS57" s="6"/>
      <c r="AT57" s="7"/>
      <c r="AU57" s="6"/>
      <c r="AV57" s="7"/>
      <c r="AW57" s="5"/>
      <c r="AX57" s="5"/>
      <c r="AY57" s="6"/>
      <c r="AZ57" s="7"/>
      <c r="BA57" s="6"/>
      <c r="BB57" s="7"/>
      <c r="BC57" s="5"/>
      <c r="BD57" s="7"/>
      <c r="BE57" s="5"/>
      <c r="BF57" s="7"/>
      <c r="BG57" s="5"/>
      <c r="BH57" s="5"/>
      <c r="BI57" s="6"/>
      <c r="BJ57" s="7"/>
      <c r="BK57" s="5"/>
      <c r="BL57" s="5"/>
      <c r="BM57" s="6"/>
      <c r="BN57" s="7"/>
      <c r="BO57" s="5"/>
      <c r="BP57" s="5"/>
      <c r="BQ57" s="6"/>
      <c r="BR57" s="7"/>
      <c r="BS57" s="5"/>
      <c r="BT57" s="5"/>
      <c r="BU57" s="6"/>
      <c r="BV57" s="7"/>
      <c r="BW57" s="5"/>
      <c r="BX57" s="5"/>
      <c r="BY57" s="6"/>
      <c r="BZ57" s="7"/>
      <c r="CA57" s="5"/>
      <c r="CB57" s="5"/>
      <c r="CC57" s="6"/>
      <c r="CD57" s="7"/>
      <c r="CE57" s="5"/>
      <c r="CF57" s="5"/>
      <c r="CG57" s="6"/>
    </row>
    <row r="58" spans="2:85" s="15" customFormat="1" ht="13.5" hidden="1" customHeight="1" thickBot="1" x14ac:dyDescent="0.35">
      <c r="B58" s="16"/>
      <c r="C58" s="143"/>
      <c r="D58" s="35"/>
      <c r="E58" s="36">
        <f>SUM(F58:CG58)</f>
        <v>0</v>
      </c>
      <c r="F58" s="7"/>
      <c r="G58" s="5"/>
      <c r="H58" s="5"/>
      <c r="I58" s="83"/>
      <c r="J58" s="83"/>
      <c r="K58" s="83"/>
      <c r="L58" s="6"/>
      <c r="M58" s="7"/>
      <c r="N58" s="5"/>
      <c r="O58" s="7"/>
      <c r="P58" s="5"/>
      <c r="Q58" s="7"/>
      <c r="R58" s="5"/>
      <c r="S58" s="7"/>
      <c r="T58" s="5"/>
      <c r="U58" s="7"/>
      <c r="V58" s="5"/>
      <c r="W58" s="7"/>
      <c r="X58" s="5"/>
      <c r="Y58" s="5"/>
      <c r="Z58" s="83"/>
      <c r="AA58" s="6"/>
      <c r="AB58" s="7"/>
      <c r="AC58" s="5"/>
      <c r="AD58" s="7"/>
      <c r="AE58" s="5"/>
      <c r="AF58" s="7"/>
      <c r="AG58" s="5"/>
      <c r="AH58" s="7"/>
      <c r="AI58" s="5"/>
      <c r="AJ58" s="7"/>
      <c r="AK58" s="5"/>
      <c r="AL58" s="7"/>
      <c r="AM58" s="5"/>
      <c r="AN58" s="7"/>
      <c r="AO58" s="5"/>
      <c r="AP58" s="5"/>
      <c r="AQ58" s="6"/>
      <c r="AR58" s="7"/>
      <c r="AS58" s="6"/>
      <c r="AT58" s="7"/>
      <c r="AU58" s="6"/>
      <c r="AV58" s="7"/>
      <c r="AW58" s="5"/>
      <c r="AX58" s="5"/>
      <c r="AY58" s="6"/>
      <c r="AZ58" s="7"/>
      <c r="BA58" s="6"/>
      <c r="BB58" s="7"/>
      <c r="BC58" s="5"/>
      <c r="BD58" s="7"/>
      <c r="BE58" s="5"/>
      <c r="BF58" s="7"/>
      <c r="BG58" s="5"/>
      <c r="BH58" s="5"/>
      <c r="BI58" s="6"/>
      <c r="BJ58" s="7"/>
      <c r="BK58" s="5"/>
      <c r="BL58" s="5"/>
      <c r="BM58" s="6"/>
      <c r="BN58" s="7"/>
      <c r="BO58" s="5"/>
      <c r="BP58" s="5"/>
      <c r="BQ58" s="6"/>
      <c r="BR58" s="7"/>
      <c r="BS58" s="5"/>
      <c r="BT58" s="5"/>
      <c r="BU58" s="6"/>
      <c r="BV58" s="7"/>
      <c r="BW58" s="5"/>
      <c r="BX58" s="5"/>
      <c r="BY58" s="6"/>
      <c r="BZ58" s="7"/>
      <c r="CA58" s="5"/>
      <c r="CB58" s="5"/>
      <c r="CC58" s="6"/>
      <c r="CD58" s="7"/>
      <c r="CE58" s="5"/>
      <c r="CF58" s="5"/>
      <c r="CG58" s="6"/>
    </row>
    <row r="59" spans="2:85" s="15" customFormat="1" ht="21.75" customHeight="1" thickBot="1" x14ac:dyDescent="0.35">
      <c r="B59" s="31"/>
      <c r="C59" s="104" t="s">
        <v>34</v>
      </c>
      <c r="D59" s="104"/>
      <c r="E59" s="105"/>
      <c r="F59" s="7"/>
      <c r="G59" s="5"/>
      <c r="H59" s="5"/>
      <c r="I59" s="83"/>
      <c r="J59" s="83"/>
      <c r="K59" s="83"/>
      <c r="L59" s="6"/>
      <c r="M59" s="7"/>
      <c r="N59" s="5"/>
      <c r="O59" s="7"/>
      <c r="P59" s="5"/>
      <c r="Q59" s="7"/>
      <c r="R59" s="5"/>
      <c r="S59" s="7"/>
      <c r="T59" s="5"/>
      <c r="U59" s="7"/>
      <c r="V59" s="5"/>
      <c r="W59" s="7"/>
      <c r="X59" s="5"/>
      <c r="Y59" s="5"/>
      <c r="Z59" s="83"/>
      <c r="AA59" s="6"/>
      <c r="AB59" s="7"/>
      <c r="AC59" s="5"/>
      <c r="AD59" s="7"/>
      <c r="AE59" s="5"/>
      <c r="AF59" s="7"/>
      <c r="AG59" s="5"/>
      <c r="AH59" s="7"/>
      <c r="AI59" s="5"/>
      <c r="AJ59" s="7"/>
      <c r="AK59" s="5"/>
      <c r="AL59" s="7"/>
      <c r="AM59" s="5"/>
      <c r="AN59" s="7"/>
      <c r="AO59" s="5"/>
      <c r="AP59" s="5"/>
      <c r="AQ59" s="6"/>
      <c r="AR59" s="7"/>
      <c r="AS59" s="6"/>
      <c r="AT59" s="7"/>
      <c r="AU59" s="6"/>
      <c r="AV59" s="7"/>
      <c r="AW59" s="5"/>
      <c r="AX59" s="5"/>
      <c r="AY59" s="6"/>
      <c r="AZ59" s="7"/>
      <c r="BA59" s="6"/>
      <c r="BB59" s="7"/>
      <c r="BC59" s="5"/>
      <c r="BD59" s="7"/>
      <c r="BE59" s="5"/>
      <c r="BF59" s="7"/>
      <c r="BG59" s="5"/>
      <c r="BH59" s="5"/>
      <c r="BI59" s="6"/>
      <c r="BJ59" s="7"/>
      <c r="BK59" s="5"/>
      <c r="BL59" s="5"/>
      <c r="BM59" s="6"/>
      <c r="BN59" s="7"/>
      <c r="BO59" s="5"/>
      <c r="BP59" s="5"/>
      <c r="BQ59" s="6"/>
      <c r="BR59" s="7"/>
      <c r="BS59" s="5"/>
      <c r="BT59" s="5"/>
      <c r="BU59" s="6"/>
      <c r="BV59" s="7"/>
      <c r="BW59" s="5"/>
      <c r="BX59" s="5"/>
      <c r="BY59" s="6"/>
      <c r="BZ59" s="7"/>
      <c r="CA59" s="5"/>
      <c r="CB59" s="5"/>
      <c r="CC59" s="6"/>
      <c r="CD59" s="7"/>
      <c r="CE59" s="5"/>
      <c r="CF59" s="5"/>
      <c r="CG59" s="6"/>
    </row>
    <row r="60" spans="2:85" s="15" customFormat="1" ht="16.2" thickBot="1" x14ac:dyDescent="0.35">
      <c r="B60" s="16"/>
      <c r="C60" s="100" t="s">
        <v>35</v>
      </c>
      <c r="D60" s="33">
        <f>SUM(F60:CG60)</f>
        <v>15</v>
      </c>
      <c r="E60" s="34"/>
      <c r="F60" s="7"/>
      <c r="G60" s="5"/>
      <c r="H60" s="5"/>
      <c r="I60" s="83"/>
      <c r="J60" s="83"/>
      <c r="K60" s="83"/>
      <c r="L60" s="6"/>
      <c r="M60" s="7"/>
      <c r="N60" s="5"/>
      <c r="O60" s="7"/>
      <c r="P60" s="5"/>
      <c r="Q60" s="7"/>
      <c r="R60" s="5"/>
      <c r="S60" s="7"/>
      <c r="T60" s="5"/>
      <c r="U60" s="7"/>
      <c r="V60" s="5"/>
      <c r="W60" s="7"/>
      <c r="X60" s="5"/>
      <c r="Y60" s="5"/>
      <c r="Z60" s="83"/>
      <c r="AA60" s="6"/>
      <c r="AB60" s="7"/>
      <c r="AC60" s="5"/>
      <c r="AD60" s="7"/>
      <c r="AE60" s="5"/>
      <c r="AF60" s="7"/>
      <c r="AG60" s="5"/>
      <c r="AH60" s="7"/>
      <c r="AI60" s="5"/>
      <c r="AJ60" s="7"/>
      <c r="AK60" s="5"/>
      <c r="AL60" s="7"/>
      <c r="AM60" s="5"/>
      <c r="AN60" s="7">
        <v>4.5</v>
      </c>
      <c r="AO60" s="5"/>
      <c r="AP60" s="5"/>
      <c r="AQ60" s="6"/>
      <c r="AR60" s="7">
        <v>4.5</v>
      </c>
      <c r="AS60" s="6"/>
      <c r="AT60" s="7">
        <v>4.5</v>
      </c>
      <c r="AU60" s="6"/>
      <c r="AV60" s="7">
        <v>1.5</v>
      </c>
      <c r="AW60" s="5"/>
      <c r="AX60" s="5"/>
      <c r="AY60" s="6"/>
      <c r="AZ60" s="7"/>
      <c r="BA60" s="6"/>
      <c r="BB60" s="7"/>
      <c r="BC60" s="5"/>
      <c r="BD60" s="7"/>
      <c r="BE60" s="5"/>
      <c r="BF60" s="7"/>
      <c r="BG60" s="5"/>
      <c r="BH60" s="5"/>
      <c r="BI60" s="6"/>
      <c r="BJ60" s="7"/>
      <c r="BK60" s="5"/>
      <c r="BL60" s="5"/>
      <c r="BM60" s="6"/>
      <c r="BN60" s="7"/>
      <c r="BO60" s="5"/>
      <c r="BP60" s="5"/>
      <c r="BQ60" s="6"/>
      <c r="BR60" s="7"/>
      <c r="BS60" s="5"/>
      <c r="BT60" s="5"/>
      <c r="BU60" s="6"/>
      <c r="BV60" s="7"/>
      <c r="BW60" s="5"/>
      <c r="BX60" s="5"/>
      <c r="BY60" s="6"/>
      <c r="BZ60" s="7"/>
      <c r="CA60" s="5"/>
      <c r="CB60" s="5"/>
      <c r="CC60" s="6"/>
      <c r="CD60" s="7"/>
      <c r="CE60" s="5"/>
      <c r="CF60" s="5"/>
      <c r="CG60" s="6"/>
    </row>
    <row r="61" spans="2:85" s="15" customFormat="1" ht="16.2" thickBot="1" x14ac:dyDescent="0.35">
      <c r="B61" s="16"/>
      <c r="C61" s="100"/>
      <c r="D61" s="35"/>
      <c r="E61" s="36">
        <f>SUM(F61:CG61)</f>
        <v>15</v>
      </c>
      <c r="F61" s="7"/>
      <c r="G61" s="5"/>
      <c r="H61" s="5"/>
      <c r="I61" s="83"/>
      <c r="J61" s="83"/>
      <c r="K61" s="83"/>
      <c r="L61" s="6"/>
      <c r="M61" s="7"/>
      <c r="N61" s="5"/>
      <c r="O61" s="7"/>
      <c r="P61" s="5"/>
      <c r="Q61" s="7"/>
      <c r="R61" s="5"/>
      <c r="S61" s="7"/>
      <c r="T61" s="5"/>
      <c r="U61" s="7"/>
      <c r="V61" s="5"/>
      <c r="W61" s="7"/>
      <c r="X61" s="5"/>
      <c r="Y61" s="5"/>
      <c r="Z61" s="83"/>
      <c r="AA61" s="6"/>
      <c r="AB61" s="7"/>
      <c r="AC61" s="5"/>
      <c r="AD61" s="7"/>
      <c r="AE61" s="5"/>
      <c r="AF61" s="7"/>
      <c r="AG61" s="5"/>
      <c r="AH61" s="7"/>
      <c r="AI61" s="5"/>
      <c r="AJ61" s="7"/>
      <c r="AK61" s="5"/>
      <c r="AL61" s="7"/>
      <c r="AM61" s="5"/>
      <c r="AN61" s="7">
        <v>4.5</v>
      </c>
      <c r="AO61" s="5"/>
      <c r="AP61" s="5"/>
      <c r="AQ61" s="6"/>
      <c r="AR61" s="7">
        <v>4.5</v>
      </c>
      <c r="AS61" s="6"/>
      <c r="AT61" s="7">
        <v>4.5</v>
      </c>
      <c r="AU61" s="6"/>
      <c r="AV61" s="7">
        <v>1.5</v>
      </c>
      <c r="AW61" s="5"/>
      <c r="AX61" s="5"/>
      <c r="AY61" s="6"/>
      <c r="AZ61" s="7"/>
      <c r="BA61" s="6"/>
      <c r="BB61" s="7"/>
      <c r="BC61" s="5"/>
      <c r="BD61" s="7"/>
      <c r="BE61" s="5"/>
      <c r="BF61" s="7"/>
      <c r="BG61" s="5"/>
      <c r="BH61" s="5"/>
      <c r="BI61" s="6"/>
      <c r="BJ61" s="7"/>
      <c r="BK61" s="5"/>
      <c r="BL61" s="5"/>
      <c r="BM61" s="6"/>
      <c r="BN61" s="7"/>
      <c r="BO61" s="5"/>
      <c r="BP61" s="5"/>
      <c r="BQ61" s="6"/>
      <c r="BR61" s="7"/>
      <c r="BS61" s="5"/>
      <c r="BT61" s="5"/>
      <c r="BU61" s="6"/>
      <c r="BV61" s="7"/>
      <c r="BW61" s="5"/>
      <c r="BX61" s="5"/>
      <c r="BY61" s="6"/>
      <c r="BZ61" s="7"/>
      <c r="CA61" s="5"/>
      <c r="CB61" s="5"/>
      <c r="CC61" s="6"/>
      <c r="CD61" s="7"/>
      <c r="CE61" s="5"/>
      <c r="CF61" s="5"/>
      <c r="CG61" s="6"/>
    </row>
    <row r="62" spans="2:85" s="15" customFormat="1" ht="18" customHeight="1" thickBot="1" x14ac:dyDescent="0.35">
      <c r="B62" s="16"/>
      <c r="C62" s="100" t="s">
        <v>36</v>
      </c>
      <c r="D62" s="33">
        <f>SUM(F62:CG62)</f>
        <v>1</v>
      </c>
      <c r="E62" s="34"/>
      <c r="F62" s="7"/>
      <c r="G62" s="5"/>
      <c r="H62" s="5"/>
      <c r="I62" s="83"/>
      <c r="J62" s="83"/>
      <c r="K62" s="83"/>
      <c r="L62" s="6"/>
      <c r="M62" s="7"/>
      <c r="N62" s="5"/>
      <c r="O62" s="7"/>
      <c r="P62" s="5"/>
      <c r="Q62" s="7"/>
      <c r="R62" s="5"/>
      <c r="S62" s="7"/>
      <c r="T62" s="5"/>
      <c r="U62" s="7"/>
      <c r="V62" s="5"/>
      <c r="W62" s="7"/>
      <c r="X62" s="5"/>
      <c r="Y62" s="5"/>
      <c r="Z62" s="83"/>
      <c r="AA62" s="6"/>
      <c r="AB62" s="7"/>
      <c r="AC62" s="5"/>
      <c r="AD62" s="7"/>
      <c r="AE62" s="5"/>
      <c r="AF62" s="7"/>
      <c r="AG62" s="5"/>
      <c r="AH62" s="7"/>
      <c r="AI62" s="5"/>
      <c r="AJ62" s="7"/>
      <c r="AK62" s="5"/>
      <c r="AL62" s="7"/>
      <c r="AM62" s="5"/>
      <c r="AN62" s="7"/>
      <c r="AO62" s="5">
        <v>1</v>
      </c>
      <c r="AP62" s="5"/>
      <c r="AQ62" s="6"/>
      <c r="AR62" s="7"/>
      <c r="AS62" s="6"/>
      <c r="AT62" s="7"/>
      <c r="AU62" s="6"/>
      <c r="AV62" s="7"/>
      <c r="AW62" s="5"/>
      <c r="AX62" s="5"/>
      <c r="AY62" s="6"/>
      <c r="AZ62" s="7"/>
      <c r="BA62" s="6"/>
      <c r="BB62" s="7"/>
      <c r="BC62" s="5"/>
      <c r="BD62" s="7"/>
      <c r="BE62" s="5"/>
      <c r="BF62" s="7"/>
      <c r="BG62" s="5"/>
      <c r="BH62" s="5"/>
      <c r="BI62" s="6"/>
      <c r="BJ62" s="7"/>
      <c r="BK62" s="5"/>
      <c r="BL62" s="5"/>
      <c r="BM62" s="6"/>
      <c r="BN62" s="7"/>
      <c r="BO62" s="5"/>
      <c r="BP62" s="5"/>
      <c r="BQ62" s="6"/>
      <c r="BR62" s="7"/>
      <c r="BS62" s="5"/>
      <c r="BT62" s="5"/>
      <c r="BU62" s="6"/>
      <c r="BV62" s="7"/>
      <c r="BW62" s="5"/>
      <c r="BX62" s="5"/>
      <c r="BY62" s="6"/>
      <c r="BZ62" s="7"/>
      <c r="CA62" s="5"/>
      <c r="CB62" s="5"/>
      <c r="CC62" s="6"/>
      <c r="CD62" s="7"/>
      <c r="CE62" s="5"/>
      <c r="CF62" s="5"/>
      <c r="CG62" s="6"/>
    </row>
    <row r="63" spans="2:85" s="15" customFormat="1" ht="16.2" thickBot="1" x14ac:dyDescent="0.35">
      <c r="B63" s="16"/>
      <c r="C63" s="100"/>
      <c r="D63" s="35"/>
      <c r="E63" s="36">
        <f>SUM(F63:CG63)</f>
        <v>1</v>
      </c>
      <c r="F63" s="7"/>
      <c r="G63" s="5"/>
      <c r="H63" s="5"/>
      <c r="I63" s="83"/>
      <c r="J63" s="83"/>
      <c r="K63" s="83"/>
      <c r="L63" s="6"/>
      <c r="M63" s="7"/>
      <c r="N63" s="5"/>
      <c r="O63" s="7"/>
      <c r="P63" s="5"/>
      <c r="Q63" s="7"/>
      <c r="R63" s="5"/>
      <c r="S63" s="7"/>
      <c r="T63" s="5"/>
      <c r="U63" s="7"/>
      <c r="V63" s="5"/>
      <c r="W63" s="7"/>
      <c r="X63" s="5"/>
      <c r="Y63" s="5"/>
      <c r="Z63" s="83"/>
      <c r="AA63" s="6"/>
      <c r="AB63" s="7"/>
      <c r="AC63" s="5"/>
      <c r="AD63" s="7"/>
      <c r="AE63" s="5"/>
      <c r="AF63" s="7"/>
      <c r="AG63" s="5"/>
      <c r="AH63" s="7"/>
      <c r="AI63" s="5"/>
      <c r="AJ63" s="7"/>
      <c r="AK63" s="5"/>
      <c r="AL63" s="7"/>
      <c r="AM63" s="5"/>
      <c r="AN63" s="7"/>
      <c r="AO63" s="5">
        <v>1</v>
      </c>
      <c r="AP63" s="5"/>
      <c r="AQ63" s="6"/>
      <c r="AR63" s="7"/>
      <c r="AS63" s="6"/>
      <c r="AT63" s="7"/>
      <c r="AU63" s="6"/>
      <c r="AV63" s="7"/>
      <c r="AW63" s="5"/>
      <c r="AX63" s="5"/>
      <c r="AY63" s="6"/>
      <c r="AZ63" s="7"/>
      <c r="BA63" s="6"/>
      <c r="BB63" s="7"/>
      <c r="BC63" s="5"/>
      <c r="BD63" s="7"/>
      <c r="BE63" s="5"/>
      <c r="BF63" s="7"/>
      <c r="BG63" s="5"/>
      <c r="BH63" s="5"/>
      <c r="BI63" s="6"/>
      <c r="BJ63" s="7"/>
      <c r="BK63" s="5"/>
      <c r="BL63" s="5"/>
      <c r="BM63" s="6"/>
      <c r="BN63" s="7"/>
      <c r="BO63" s="5"/>
      <c r="BP63" s="5"/>
      <c r="BQ63" s="6"/>
      <c r="BR63" s="7"/>
      <c r="BS63" s="5"/>
      <c r="BT63" s="5"/>
      <c r="BU63" s="6"/>
      <c r="BV63" s="7"/>
      <c r="BW63" s="5"/>
      <c r="BX63" s="5"/>
      <c r="BY63" s="6"/>
      <c r="BZ63" s="7"/>
      <c r="CA63" s="5"/>
      <c r="CB63" s="5"/>
      <c r="CC63" s="6"/>
      <c r="CD63" s="7"/>
      <c r="CE63" s="5"/>
      <c r="CF63" s="5"/>
      <c r="CG63" s="6"/>
    </row>
    <row r="64" spans="2:85" s="15" customFormat="1" ht="17.25" customHeight="1" thickBot="1" x14ac:dyDescent="0.35">
      <c r="B64" s="16"/>
      <c r="C64" s="100" t="s">
        <v>37</v>
      </c>
      <c r="D64" s="33">
        <f>SUM(F64:CG64)</f>
        <v>1</v>
      </c>
      <c r="E64" s="34"/>
      <c r="F64" s="7"/>
      <c r="G64" s="5"/>
      <c r="H64" s="5"/>
      <c r="I64" s="83"/>
      <c r="J64" s="83"/>
      <c r="K64" s="83"/>
      <c r="L64" s="6"/>
      <c r="M64" s="7"/>
      <c r="N64" s="5"/>
      <c r="O64" s="7"/>
      <c r="P64" s="5"/>
      <c r="Q64" s="7"/>
      <c r="R64" s="5"/>
      <c r="S64" s="7"/>
      <c r="T64" s="5"/>
      <c r="U64" s="7"/>
      <c r="V64" s="5"/>
      <c r="W64" s="7"/>
      <c r="X64" s="5"/>
      <c r="Y64" s="5"/>
      <c r="Z64" s="83"/>
      <c r="AA64" s="6"/>
      <c r="AB64" s="7"/>
      <c r="AC64" s="5"/>
      <c r="AD64" s="7"/>
      <c r="AE64" s="5"/>
      <c r="AF64" s="7"/>
      <c r="AG64" s="5"/>
      <c r="AH64" s="7"/>
      <c r="AI64" s="5"/>
      <c r="AJ64" s="7"/>
      <c r="AK64" s="5"/>
      <c r="AL64" s="7"/>
      <c r="AM64" s="5"/>
      <c r="AN64" s="7"/>
      <c r="AO64" s="5"/>
      <c r="AP64" s="5">
        <v>1</v>
      </c>
      <c r="AQ64" s="6"/>
      <c r="AR64" s="7"/>
      <c r="AS64" s="6"/>
      <c r="AT64" s="7"/>
      <c r="AU64" s="6"/>
      <c r="AV64" s="7"/>
      <c r="AW64" s="5"/>
      <c r="AX64" s="5"/>
      <c r="AY64" s="6"/>
      <c r="AZ64" s="7"/>
      <c r="BA64" s="6"/>
      <c r="BB64" s="7"/>
      <c r="BC64" s="5"/>
      <c r="BD64" s="7"/>
      <c r="BE64" s="5"/>
      <c r="BF64" s="7"/>
      <c r="BG64" s="5"/>
      <c r="BH64" s="5"/>
      <c r="BI64" s="6"/>
      <c r="BJ64" s="7"/>
      <c r="BK64" s="5"/>
      <c r="BL64" s="5"/>
      <c r="BM64" s="6"/>
      <c r="BN64" s="7"/>
      <c r="BO64" s="5"/>
      <c r="BP64" s="5"/>
      <c r="BQ64" s="6"/>
      <c r="BR64" s="7"/>
      <c r="BS64" s="5"/>
      <c r="BT64" s="5"/>
      <c r="BU64" s="6"/>
      <c r="BV64" s="7"/>
      <c r="BW64" s="5"/>
      <c r="BX64" s="5"/>
      <c r="BY64" s="6"/>
      <c r="BZ64" s="7"/>
      <c r="CA64" s="5"/>
      <c r="CB64" s="5"/>
      <c r="CC64" s="6"/>
      <c r="CD64" s="7"/>
      <c r="CE64" s="5"/>
      <c r="CF64" s="5"/>
      <c r="CG64" s="6"/>
    </row>
    <row r="65" spans="2:85" s="15" customFormat="1" ht="16.2" thickBot="1" x14ac:dyDescent="0.35">
      <c r="B65" s="16"/>
      <c r="C65" s="100"/>
      <c r="D65" s="35"/>
      <c r="E65" s="36">
        <f>SUM(F65:CG65)</f>
        <v>1</v>
      </c>
      <c r="F65" s="7"/>
      <c r="G65" s="5"/>
      <c r="H65" s="5"/>
      <c r="I65" s="83"/>
      <c r="J65" s="83"/>
      <c r="K65" s="83"/>
      <c r="L65" s="6"/>
      <c r="M65" s="7"/>
      <c r="N65" s="5"/>
      <c r="O65" s="7"/>
      <c r="P65" s="5"/>
      <c r="Q65" s="7"/>
      <c r="R65" s="5"/>
      <c r="S65" s="7"/>
      <c r="T65" s="5"/>
      <c r="U65" s="7"/>
      <c r="V65" s="5"/>
      <c r="W65" s="7"/>
      <c r="X65" s="5"/>
      <c r="Y65" s="5"/>
      <c r="Z65" s="83"/>
      <c r="AA65" s="6"/>
      <c r="AB65" s="7"/>
      <c r="AC65" s="5"/>
      <c r="AD65" s="7"/>
      <c r="AE65" s="5"/>
      <c r="AF65" s="7"/>
      <c r="AG65" s="5"/>
      <c r="AH65" s="7"/>
      <c r="AI65" s="5"/>
      <c r="AJ65" s="7"/>
      <c r="AK65" s="5"/>
      <c r="AL65" s="7"/>
      <c r="AM65" s="5"/>
      <c r="AN65" s="7"/>
      <c r="AO65" s="5"/>
      <c r="AP65" s="5">
        <v>1</v>
      </c>
      <c r="AQ65" s="6"/>
      <c r="AR65" s="7"/>
      <c r="AS65" s="6"/>
      <c r="AT65" s="7"/>
      <c r="AU65" s="6"/>
      <c r="AV65" s="7"/>
      <c r="AW65" s="5"/>
      <c r="AX65" s="5"/>
      <c r="AY65" s="6"/>
      <c r="AZ65" s="7"/>
      <c r="BA65" s="6"/>
      <c r="BB65" s="7"/>
      <c r="BC65" s="5"/>
      <c r="BD65" s="7"/>
      <c r="BE65" s="5"/>
      <c r="BF65" s="7"/>
      <c r="BG65" s="5"/>
      <c r="BH65" s="5"/>
      <c r="BI65" s="6"/>
      <c r="BJ65" s="7"/>
      <c r="BK65" s="5"/>
      <c r="BL65" s="5"/>
      <c r="BM65" s="6"/>
      <c r="BN65" s="7"/>
      <c r="BO65" s="5"/>
      <c r="BP65" s="5"/>
      <c r="BQ65" s="6"/>
      <c r="BR65" s="7"/>
      <c r="BS65" s="5"/>
      <c r="BT65" s="5"/>
      <c r="BU65" s="6"/>
      <c r="BV65" s="7"/>
      <c r="BW65" s="5"/>
      <c r="BX65" s="5"/>
      <c r="BY65" s="6"/>
      <c r="BZ65" s="7"/>
      <c r="CA65" s="5"/>
      <c r="CB65" s="5"/>
      <c r="CC65" s="6"/>
      <c r="CD65" s="7"/>
      <c r="CE65" s="5"/>
      <c r="CF65" s="5"/>
      <c r="CG65" s="6"/>
    </row>
    <row r="66" spans="2:85" s="15" customFormat="1" ht="16.2" thickBot="1" x14ac:dyDescent="0.35">
      <c r="B66" s="16"/>
      <c r="C66" s="100" t="s">
        <v>38</v>
      </c>
      <c r="D66" s="33">
        <f>SUM(F66:CG66)</f>
        <v>4</v>
      </c>
      <c r="E66" s="34"/>
      <c r="F66" s="7"/>
      <c r="G66" s="5"/>
      <c r="H66" s="5"/>
      <c r="I66" s="83"/>
      <c r="J66" s="83"/>
      <c r="K66" s="83"/>
      <c r="L66" s="6"/>
      <c r="M66" s="7"/>
      <c r="N66" s="5"/>
      <c r="O66" s="7"/>
      <c r="P66" s="5"/>
      <c r="Q66" s="7"/>
      <c r="R66" s="5"/>
      <c r="S66" s="7"/>
      <c r="T66" s="5"/>
      <c r="U66" s="7"/>
      <c r="V66" s="5"/>
      <c r="W66" s="7"/>
      <c r="X66" s="5"/>
      <c r="Y66" s="5"/>
      <c r="Z66" s="83"/>
      <c r="AA66" s="6"/>
      <c r="AB66" s="7"/>
      <c r="AC66" s="5"/>
      <c r="AD66" s="7"/>
      <c r="AE66" s="5"/>
      <c r="AF66" s="7"/>
      <c r="AG66" s="5"/>
      <c r="AH66" s="7"/>
      <c r="AI66" s="5"/>
      <c r="AJ66" s="7"/>
      <c r="AK66" s="5"/>
      <c r="AL66" s="7"/>
      <c r="AM66" s="5"/>
      <c r="AN66" s="7"/>
      <c r="AO66" s="5"/>
      <c r="AP66" s="5"/>
      <c r="AQ66" s="6"/>
      <c r="AR66" s="7"/>
      <c r="AS66" s="6"/>
      <c r="AT66" s="7"/>
      <c r="AU66" s="6"/>
      <c r="AV66" s="7"/>
      <c r="AW66" s="5">
        <v>4</v>
      </c>
      <c r="AX66" s="5"/>
      <c r="AY66" s="6"/>
      <c r="AZ66" s="7"/>
      <c r="BA66" s="6"/>
      <c r="BB66" s="7"/>
      <c r="BC66" s="5"/>
      <c r="BD66" s="7"/>
      <c r="BE66" s="5"/>
      <c r="BF66" s="7"/>
      <c r="BG66" s="5"/>
      <c r="BH66" s="5"/>
      <c r="BI66" s="6"/>
      <c r="BJ66" s="7"/>
      <c r="BK66" s="5"/>
      <c r="BL66" s="5"/>
      <c r="BM66" s="6"/>
      <c r="BN66" s="7"/>
      <c r="BO66" s="5"/>
      <c r="BP66" s="5"/>
      <c r="BQ66" s="6"/>
      <c r="BR66" s="7"/>
      <c r="BS66" s="5"/>
      <c r="BT66" s="5"/>
      <c r="BU66" s="6"/>
      <c r="BV66" s="7"/>
      <c r="BW66" s="5"/>
      <c r="BX66" s="5"/>
      <c r="BY66" s="6"/>
      <c r="BZ66" s="7"/>
      <c r="CA66" s="5"/>
      <c r="CB66" s="5"/>
      <c r="CC66" s="6"/>
      <c r="CD66" s="7"/>
      <c r="CE66" s="5"/>
      <c r="CF66" s="5"/>
      <c r="CG66" s="6"/>
    </row>
    <row r="67" spans="2:85" s="15" customFormat="1" ht="16.2" thickBot="1" x14ac:dyDescent="0.35">
      <c r="B67" s="16"/>
      <c r="C67" s="100"/>
      <c r="D67" s="35"/>
      <c r="E67" s="36">
        <f>SUM(F67:CG67)</f>
        <v>4</v>
      </c>
      <c r="F67" s="7"/>
      <c r="G67" s="5"/>
      <c r="H67" s="5"/>
      <c r="I67" s="83"/>
      <c r="J67" s="83"/>
      <c r="K67" s="83"/>
      <c r="L67" s="6"/>
      <c r="M67" s="7"/>
      <c r="N67" s="5"/>
      <c r="O67" s="7"/>
      <c r="P67" s="5"/>
      <c r="Q67" s="7"/>
      <c r="R67" s="5"/>
      <c r="S67" s="7"/>
      <c r="T67" s="5"/>
      <c r="U67" s="7"/>
      <c r="V67" s="5"/>
      <c r="W67" s="7"/>
      <c r="X67" s="5"/>
      <c r="Y67" s="5"/>
      <c r="Z67" s="83"/>
      <c r="AA67" s="6"/>
      <c r="AB67" s="7"/>
      <c r="AC67" s="5"/>
      <c r="AD67" s="7"/>
      <c r="AE67" s="5"/>
      <c r="AF67" s="7"/>
      <c r="AG67" s="5"/>
      <c r="AH67" s="7"/>
      <c r="AI67" s="5"/>
      <c r="AJ67" s="7"/>
      <c r="AK67" s="5"/>
      <c r="AL67" s="7"/>
      <c r="AM67" s="5"/>
      <c r="AN67" s="7"/>
      <c r="AO67" s="5"/>
      <c r="AP67" s="5"/>
      <c r="AQ67" s="6"/>
      <c r="AR67" s="7"/>
      <c r="AS67" s="6"/>
      <c r="AT67" s="7"/>
      <c r="AU67" s="6"/>
      <c r="AV67" s="7"/>
      <c r="AW67" s="5">
        <v>4</v>
      </c>
      <c r="AX67" s="5"/>
      <c r="AY67" s="6"/>
      <c r="AZ67" s="7"/>
      <c r="BA67" s="6"/>
      <c r="BB67" s="7"/>
      <c r="BC67" s="5"/>
      <c r="BD67" s="7"/>
      <c r="BE67" s="5"/>
      <c r="BF67" s="7"/>
      <c r="BG67" s="5"/>
      <c r="BH67" s="5"/>
      <c r="BI67" s="6"/>
      <c r="BJ67" s="7"/>
      <c r="BK67" s="5"/>
      <c r="BL67" s="5"/>
      <c r="BM67" s="6"/>
      <c r="BN67" s="7"/>
      <c r="BO67" s="5"/>
      <c r="BP67" s="5"/>
      <c r="BQ67" s="6"/>
      <c r="BR67" s="7"/>
      <c r="BS67" s="5"/>
      <c r="BT67" s="5"/>
      <c r="BU67" s="6"/>
      <c r="BV67" s="7"/>
      <c r="BW67" s="5"/>
      <c r="BX67" s="5"/>
      <c r="BY67" s="6"/>
      <c r="BZ67" s="7"/>
      <c r="CA67" s="5"/>
      <c r="CB67" s="5"/>
      <c r="CC67" s="6"/>
      <c r="CD67" s="7"/>
      <c r="CE67" s="5"/>
      <c r="CF67" s="5"/>
      <c r="CG67" s="6"/>
    </row>
    <row r="68" spans="2:85" s="15" customFormat="1" ht="15.75" customHeight="1" thickBot="1" x14ac:dyDescent="0.35">
      <c r="B68" s="16"/>
      <c r="C68" s="100" t="s">
        <v>39</v>
      </c>
      <c r="D68" s="33">
        <f>SUM(F68:CG68)</f>
        <v>4</v>
      </c>
      <c r="E68" s="34"/>
      <c r="F68" s="7"/>
      <c r="G68" s="5"/>
      <c r="H68" s="5"/>
      <c r="I68" s="83"/>
      <c r="J68" s="83"/>
      <c r="K68" s="83"/>
      <c r="L68" s="6"/>
      <c r="M68" s="7"/>
      <c r="N68" s="5"/>
      <c r="O68" s="7"/>
      <c r="P68" s="5"/>
      <c r="Q68" s="7"/>
      <c r="R68" s="5"/>
      <c r="S68" s="7"/>
      <c r="T68" s="5"/>
      <c r="U68" s="7"/>
      <c r="V68" s="5"/>
      <c r="W68" s="7"/>
      <c r="X68" s="5"/>
      <c r="Y68" s="5"/>
      <c r="Z68" s="83"/>
      <c r="AA68" s="6"/>
      <c r="AB68" s="7"/>
      <c r="AC68" s="5"/>
      <c r="AD68" s="7"/>
      <c r="AE68" s="5"/>
      <c r="AF68" s="7"/>
      <c r="AG68" s="5"/>
      <c r="AH68" s="7"/>
      <c r="AI68" s="5"/>
      <c r="AJ68" s="7"/>
      <c r="AK68" s="5"/>
      <c r="AL68" s="7"/>
      <c r="AM68" s="5"/>
      <c r="AN68" s="7"/>
      <c r="AO68" s="5"/>
      <c r="AP68" s="5"/>
      <c r="AQ68" s="6"/>
      <c r="AR68" s="7"/>
      <c r="AS68" s="6"/>
      <c r="AT68" s="7"/>
      <c r="AU68" s="6"/>
      <c r="AV68" s="7"/>
      <c r="AW68" s="5"/>
      <c r="AX68" s="5">
        <v>4</v>
      </c>
      <c r="AY68" s="6"/>
      <c r="AZ68" s="7"/>
      <c r="BA68" s="6"/>
      <c r="BB68" s="7"/>
      <c r="BC68" s="5"/>
      <c r="BD68" s="7"/>
      <c r="BE68" s="5"/>
      <c r="BF68" s="7"/>
      <c r="BG68" s="5"/>
      <c r="BH68" s="5"/>
      <c r="BI68" s="6"/>
      <c r="BJ68" s="7"/>
      <c r="BK68" s="5"/>
      <c r="BL68" s="5"/>
      <c r="BM68" s="6"/>
      <c r="BN68" s="7"/>
      <c r="BO68" s="5"/>
      <c r="BP68" s="5"/>
      <c r="BQ68" s="6"/>
      <c r="BR68" s="7"/>
      <c r="BS68" s="5"/>
      <c r="BT68" s="5"/>
      <c r="BU68" s="6"/>
      <c r="BV68" s="7"/>
      <c r="BW68" s="5"/>
      <c r="BX68" s="5"/>
      <c r="BY68" s="6"/>
      <c r="BZ68" s="7"/>
      <c r="CA68" s="5"/>
      <c r="CB68" s="5"/>
      <c r="CC68" s="6"/>
      <c r="CD68" s="7"/>
      <c r="CE68" s="5"/>
      <c r="CF68" s="5"/>
      <c r="CG68" s="6"/>
    </row>
    <row r="69" spans="2:85" s="15" customFormat="1" ht="16.2" thickBot="1" x14ac:dyDescent="0.35">
      <c r="B69" s="16"/>
      <c r="C69" s="100"/>
      <c r="D69" s="35"/>
      <c r="E69" s="36">
        <f>SUM(F69:CG69)</f>
        <v>4</v>
      </c>
      <c r="F69" s="7"/>
      <c r="G69" s="5"/>
      <c r="H69" s="5"/>
      <c r="I69" s="83"/>
      <c r="J69" s="83"/>
      <c r="K69" s="83"/>
      <c r="L69" s="6"/>
      <c r="M69" s="7"/>
      <c r="N69" s="5"/>
      <c r="O69" s="7"/>
      <c r="P69" s="5"/>
      <c r="Q69" s="7"/>
      <c r="R69" s="5"/>
      <c r="S69" s="7"/>
      <c r="T69" s="5"/>
      <c r="U69" s="7"/>
      <c r="V69" s="5"/>
      <c r="W69" s="7"/>
      <c r="X69" s="5"/>
      <c r="Y69" s="5"/>
      <c r="Z69" s="83"/>
      <c r="AA69" s="6"/>
      <c r="AB69" s="7"/>
      <c r="AC69" s="5"/>
      <c r="AD69" s="7"/>
      <c r="AE69" s="5"/>
      <c r="AF69" s="7"/>
      <c r="AG69" s="5"/>
      <c r="AH69" s="7"/>
      <c r="AI69" s="5"/>
      <c r="AJ69" s="7"/>
      <c r="AK69" s="5"/>
      <c r="AL69" s="7"/>
      <c r="AM69" s="5"/>
      <c r="AN69" s="7"/>
      <c r="AO69" s="5"/>
      <c r="AP69" s="5"/>
      <c r="AQ69" s="6"/>
      <c r="AR69" s="7"/>
      <c r="AS69" s="6"/>
      <c r="AT69" s="7"/>
      <c r="AU69" s="6"/>
      <c r="AV69" s="7"/>
      <c r="AW69" s="5"/>
      <c r="AX69" s="5">
        <v>4</v>
      </c>
      <c r="AY69" s="6"/>
      <c r="AZ69" s="7"/>
      <c r="BA69" s="6"/>
      <c r="BB69" s="7"/>
      <c r="BC69" s="5"/>
      <c r="BD69" s="7"/>
      <c r="BE69" s="5"/>
      <c r="BF69" s="7"/>
      <c r="BG69" s="5"/>
      <c r="BH69" s="5"/>
      <c r="BI69" s="6"/>
      <c r="BJ69" s="7"/>
      <c r="BK69" s="5"/>
      <c r="BL69" s="5"/>
      <c r="BM69" s="6"/>
      <c r="BN69" s="7"/>
      <c r="BO69" s="5"/>
      <c r="BP69" s="5"/>
      <c r="BQ69" s="6"/>
      <c r="BR69" s="7"/>
      <c r="BS69" s="5"/>
      <c r="BT69" s="5"/>
      <c r="BU69" s="6"/>
      <c r="BV69" s="7"/>
      <c r="BW69" s="5"/>
      <c r="BX69" s="5"/>
      <c r="BY69" s="6"/>
      <c r="BZ69" s="7"/>
      <c r="CA69" s="5"/>
      <c r="CB69" s="5"/>
      <c r="CC69" s="6"/>
      <c r="CD69" s="7"/>
      <c r="CE69" s="5"/>
      <c r="CF69" s="5"/>
      <c r="CG69" s="6"/>
    </row>
    <row r="70" spans="2:85" s="15" customFormat="1" ht="16.2" hidden="1" thickBot="1" x14ac:dyDescent="0.35">
      <c r="B70" s="16"/>
      <c r="C70" s="131" t="s">
        <v>40</v>
      </c>
      <c r="D70" s="33">
        <f>SUM(F70:CG70)</f>
        <v>0</v>
      </c>
      <c r="E70" s="34"/>
      <c r="F70" s="7"/>
      <c r="G70" s="5"/>
      <c r="H70" s="5"/>
      <c r="I70" s="83"/>
      <c r="J70" s="83"/>
      <c r="K70" s="83"/>
      <c r="L70" s="6"/>
      <c r="M70" s="7"/>
      <c r="N70" s="5"/>
      <c r="O70" s="7"/>
      <c r="P70" s="5"/>
      <c r="Q70" s="7"/>
      <c r="R70" s="5"/>
      <c r="S70" s="7"/>
      <c r="T70" s="5"/>
      <c r="U70" s="7"/>
      <c r="V70" s="5"/>
      <c r="W70" s="7"/>
      <c r="X70" s="5"/>
      <c r="Y70" s="5"/>
      <c r="Z70" s="83"/>
      <c r="AA70" s="6"/>
      <c r="AB70" s="7"/>
      <c r="AC70" s="5"/>
      <c r="AD70" s="7"/>
      <c r="AE70" s="5"/>
      <c r="AF70" s="7"/>
      <c r="AG70" s="5"/>
      <c r="AH70" s="7"/>
      <c r="AI70" s="5"/>
      <c r="AJ70" s="7"/>
      <c r="AK70" s="5"/>
      <c r="AL70" s="7"/>
      <c r="AM70" s="5"/>
      <c r="AN70" s="7"/>
      <c r="AO70" s="5"/>
      <c r="AP70" s="5"/>
      <c r="AQ70" s="6"/>
      <c r="AR70" s="7"/>
      <c r="AS70" s="6"/>
      <c r="AT70" s="7"/>
      <c r="AU70" s="6"/>
      <c r="AV70" s="7"/>
      <c r="AW70" s="5"/>
      <c r="AX70" s="5"/>
      <c r="AY70" s="6"/>
      <c r="AZ70" s="7"/>
      <c r="BA70" s="6"/>
      <c r="BB70" s="7"/>
      <c r="BC70" s="5"/>
      <c r="BD70" s="7"/>
      <c r="BE70" s="5"/>
      <c r="BF70" s="7"/>
      <c r="BG70" s="5"/>
      <c r="BH70" s="5"/>
      <c r="BI70" s="6"/>
      <c r="BJ70" s="7"/>
      <c r="BK70" s="5"/>
      <c r="BL70" s="5"/>
      <c r="BM70" s="6"/>
      <c r="BN70" s="7"/>
      <c r="BO70" s="5"/>
      <c r="BP70" s="5"/>
      <c r="BQ70" s="6"/>
      <c r="BR70" s="7"/>
      <c r="BS70" s="5"/>
      <c r="BT70" s="5"/>
      <c r="BU70" s="6"/>
      <c r="BV70" s="7"/>
      <c r="BW70" s="5"/>
      <c r="BX70" s="5"/>
      <c r="BY70" s="6"/>
      <c r="BZ70" s="7"/>
      <c r="CA70" s="5"/>
      <c r="CB70" s="5"/>
      <c r="CC70" s="6"/>
      <c r="CD70" s="7"/>
      <c r="CE70" s="5"/>
      <c r="CF70" s="5"/>
      <c r="CG70" s="6"/>
    </row>
    <row r="71" spans="2:85" s="15" customFormat="1" ht="16.2" hidden="1" thickBot="1" x14ac:dyDescent="0.35">
      <c r="B71" s="16"/>
      <c r="C71" s="132"/>
      <c r="D71" s="35"/>
      <c r="E71" s="36">
        <f>SUM(F71:CG71)</f>
        <v>0</v>
      </c>
      <c r="F71" s="7"/>
      <c r="G71" s="5"/>
      <c r="H71" s="5"/>
      <c r="I71" s="83"/>
      <c r="J71" s="83"/>
      <c r="K71" s="83"/>
      <c r="L71" s="6"/>
      <c r="M71" s="7"/>
      <c r="N71" s="5"/>
      <c r="O71" s="7"/>
      <c r="P71" s="5"/>
      <c r="Q71" s="7"/>
      <c r="R71" s="5"/>
      <c r="S71" s="7"/>
      <c r="T71" s="5"/>
      <c r="U71" s="7"/>
      <c r="V71" s="5"/>
      <c r="W71" s="7"/>
      <c r="X71" s="5"/>
      <c r="Y71" s="5"/>
      <c r="Z71" s="83"/>
      <c r="AA71" s="6"/>
      <c r="AB71" s="7"/>
      <c r="AC71" s="5"/>
      <c r="AD71" s="7"/>
      <c r="AE71" s="5"/>
      <c r="AF71" s="7"/>
      <c r="AG71" s="5"/>
      <c r="AH71" s="7"/>
      <c r="AI71" s="5"/>
      <c r="AJ71" s="7"/>
      <c r="AK71" s="5"/>
      <c r="AL71" s="7"/>
      <c r="AM71" s="5"/>
      <c r="AN71" s="7"/>
      <c r="AO71" s="5"/>
      <c r="AP71" s="5"/>
      <c r="AQ71" s="6"/>
      <c r="AR71" s="7"/>
      <c r="AS71" s="6"/>
      <c r="AT71" s="7"/>
      <c r="AU71" s="6"/>
      <c r="AV71" s="7"/>
      <c r="AW71" s="5"/>
      <c r="AX71" s="5"/>
      <c r="AY71" s="6"/>
      <c r="AZ71" s="7"/>
      <c r="BA71" s="6"/>
      <c r="BB71" s="7"/>
      <c r="BC71" s="5"/>
      <c r="BD71" s="7"/>
      <c r="BE71" s="5"/>
      <c r="BF71" s="7"/>
      <c r="BG71" s="5"/>
      <c r="BH71" s="5"/>
      <c r="BI71" s="6"/>
      <c r="BJ71" s="7"/>
      <c r="BK71" s="5"/>
      <c r="BL71" s="5"/>
      <c r="BM71" s="6"/>
      <c r="BN71" s="7"/>
      <c r="BO71" s="5"/>
      <c r="BP71" s="5"/>
      <c r="BQ71" s="6"/>
      <c r="BR71" s="7"/>
      <c r="BS71" s="5"/>
      <c r="BT71" s="5"/>
      <c r="BU71" s="6"/>
      <c r="BV71" s="7"/>
      <c r="BW71" s="5"/>
      <c r="BX71" s="5"/>
      <c r="BY71" s="6"/>
      <c r="BZ71" s="7"/>
      <c r="CA71" s="5"/>
      <c r="CB71" s="5"/>
      <c r="CC71" s="6"/>
      <c r="CD71" s="7"/>
      <c r="CE71" s="5"/>
      <c r="CF71" s="5"/>
      <c r="CG71" s="6"/>
    </row>
    <row r="72" spans="2:85" s="15" customFormat="1" ht="16.2" hidden="1" thickBot="1" x14ac:dyDescent="0.35">
      <c r="B72" s="16"/>
      <c r="C72" s="133" t="s">
        <v>41</v>
      </c>
      <c r="D72" s="33">
        <f>SUM(F72:CG72)</f>
        <v>0</v>
      </c>
      <c r="E72" s="34"/>
      <c r="F72" s="7"/>
      <c r="G72" s="5"/>
      <c r="H72" s="5"/>
      <c r="I72" s="83"/>
      <c r="J72" s="83"/>
      <c r="K72" s="83"/>
      <c r="L72" s="6"/>
      <c r="M72" s="7"/>
      <c r="N72" s="5"/>
      <c r="O72" s="7"/>
      <c r="P72" s="5"/>
      <c r="Q72" s="7"/>
      <c r="R72" s="5"/>
      <c r="S72" s="7"/>
      <c r="T72" s="5"/>
      <c r="U72" s="7"/>
      <c r="V72" s="5"/>
      <c r="W72" s="7"/>
      <c r="X72" s="5"/>
      <c r="Y72" s="5"/>
      <c r="Z72" s="83"/>
      <c r="AA72" s="6"/>
      <c r="AB72" s="7"/>
      <c r="AC72" s="5"/>
      <c r="AD72" s="7"/>
      <c r="AE72" s="5"/>
      <c r="AF72" s="7"/>
      <c r="AG72" s="5"/>
      <c r="AH72" s="7"/>
      <c r="AI72" s="5"/>
      <c r="AJ72" s="7"/>
      <c r="AK72" s="5"/>
      <c r="AL72" s="7"/>
      <c r="AM72" s="5"/>
      <c r="AN72" s="7"/>
      <c r="AO72" s="5"/>
      <c r="AP72" s="5"/>
      <c r="AQ72" s="6"/>
      <c r="AR72" s="7"/>
      <c r="AS72" s="6"/>
      <c r="AT72" s="7"/>
      <c r="AU72" s="6"/>
      <c r="AV72" s="7"/>
      <c r="AW72" s="5"/>
      <c r="AX72" s="5"/>
      <c r="AY72" s="6"/>
      <c r="AZ72" s="7"/>
      <c r="BA72" s="6"/>
      <c r="BB72" s="7"/>
      <c r="BC72" s="5"/>
      <c r="BD72" s="7"/>
      <c r="BE72" s="5"/>
      <c r="BF72" s="7"/>
      <c r="BG72" s="5"/>
      <c r="BH72" s="5"/>
      <c r="BI72" s="6"/>
      <c r="BJ72" s="7"/>
      <c r="BK72" s="5"/>
      <c r="BL72" s="5"/>
      <c r="BM72" s="6"/>
      <c r="BN72" s="7"/>
      <c r="BO72" s="5"/>
      <c r="BP72" s="5"/>
      <c r="BQ72" s="6"/>
      <c r="BR72" s="7"/>
      <c r="BS72" s="5"/>
      <c r="BT72" s="5"/>
      <c r="BU72" s="6"/>
      <c r="BV72" s="7"/>
      <c r="BW72" s="5"/>
      <c r="BX72" s="5"/>
      <c r="BY72" s="6"/>
      <c r="BZ72" s="7"/>
      <c r="CA72" s="5"/>
      <c r="CB72" s="5"/>
      <c r="CC72" s="6"/>
      <c r="CD72" s="7"/>
      <c r="CE72" s="5"/>
      <c r="CF72" s="5"/>
      <c r="CG72" s="6"/>
    </row>
    <row r="73" spans="2:85" s="15" customFormat="1" ht="16.2" hidden="1" thickBot="1" x14ac:dyDescent="0.35">
      <c r="B73" s="16"/>
      <c r="C73" s="134"/>
      <c r="D73" s="35"/>
      <c r="E73" s="36">
        <f>SUM(F73:CG73)</f>
        <v>0</v>
      </c>
      <c r="F73" s="7"/>
      <c r="G73" s="5"/>
      <c r="H73" s="5"/>
      <c r="I73" s="83"/>
      <c r="J73" s="83"/>
      <c r="K73" s="83"/>
      <c r="L73" s="6"/>
      <c r="M73" s="7"/>
      <c r="N73" s="5"/>
      <c r="O73" s="7"/>
      <c r="P73" s="5"/>
      <c r="Q73" s="7"/>
      <c r="R73" s="5"/>
      <c r="S73" s="7"/>
      <c r="T73" s="5"/>
      <c r="U73" s="7"/>
      <c r="V73" s="5"/>
      <c r="W73" s="7"/>
      <c r="X73" s="5"/>
      <c r="Y73" s="5"/>
      <c r="Z73" s="83"/>
      <c r="AA73" s="6"/>
      <c r="AB73" s="7"/>
      <c r="AC73" s="5"/>
      <c r="AD73" s="7"/>
      <c r="AE73" s="5"/>
      <c r="AF73" s="7"/>
      <c r="AG73" s="5"/>
      <c r="AH73" s="7"/>
      <c r="AI73" s="5"/>
      <c r="AJ73" s="7"/>
      <c r="AK73" s="5"/>
      <c r="AL73" s="7"/>
      <c r="AM73" s="5"/>
      <c r="AN73" s="7"/>
      <c r="AO73" s="5"/>
      <c r="AP73" s="5"/>
      <c r="AQ73" s="6"/>
      <c r="AR73" s="7"/>
      <c r="AS73" s="6"/>
      <c r="AT73" s="7"/>
      <c r="AU73" s="6"/>
      <c r="AV73" s="7"/>
      <c r="AW73" s="5"/>
      <c r="AX73" s="5"/>
      <c r="AY73" s="6"/>
      <c r="AZ73" s="7"/>
      <c r="BA73" s="6"/>
      <c r="BB73" s="7"/>
      <c r="BC73" s="5"/>
      <c r="BD73" s="7"/>
      <c r="BE73" s="5"/>
      <c r="BF73" s="7"/>
      <c r="BG73" s="5"/>
      <c r="BH73" s="5"/>
      <c r="BI73" s="6"/>
      <c r="BJ73" s="7"/>
      <c r="BK73" s="5"/>
      <c r="BL73" s="5"/>
      <c r="BM73" s="6"/>
      <c r="BN73" s="7"/>
      <c r="BO73" s="5"/>
      <c r="BP73" s="5"/>
      <c r="BQ73" s="6"/>
      <c r="BR73" s="7"/>
      <c r="BS73" s="5"/>
      <c r="BT73" s="5"/>
      <c r="BU73" s="6"/>
      <c r="BV73" s="7"/>
      <c r="BW73" s="5"/>
      <c r="BX73" s="5"/>
      <c r="BY73" s="6"/>
      <c r="BZ73" s="7"/>
      <c r="CA73" s="5"/>
      <c r="CB73" s="5"/>
      <c r="CC73" s="6"/>
      <c r="CD73" s="7"/>
      <c r="CE73" s="5"/>
      <c r="CF73" s="5"/>
      <c r="CG73" s="6"/>
    </row>
    <row r="74" spans="2:85" s="15" customFormat="1" ht="16.2" thickBot="1" x14ac:dyDescent="0.35">
      <c r="B74" s="16"/>
      <c r="C74" s="143" t="s">
        <v>85</v>
      </c>
      <c r="D74" s="33">
        <f>SUM(F74:CG74)</f>
        <v>55</v>
      </c>
      <c r="E74" s="34"/>
      <c r="F74" s="7"/>
      <c r="G74" s="5"/>
      <c r="H74" s="5"/>
      <c r="I74" s="83"/>
      <c r="J74" s="83"/>
      <c r="K74" s="83"/>
      <c r="L74" s="6"/>
      <c r="M74" s="7"/>
      <c r="N74" s="5"/>
      <c r="O74" s="7"/>
      <c r="P74" s="5"/>
      <c r="Q74" s="7"/>
      <c r="R74" s="5"/>
      <c r="S74" s="7"/>
      <c r="T74" s="5"/>
      <c r="U74" s="7"/>
      <c r="V74" s="5"/>
      <c r="W74" s="7"/>
      <c r="X74" s="5"/>
      <c r="Y74" s="5"/>
      <c r="Z74" s="83"/>
      <c r="AA74" s="6"/>
      <c r="AB74" s="7"/>
      <c r="AC74" s="5"/>
      <c r="AD74" s="7"/>
      <c r="AE74" s="5"/>
      <c r="AF74" s="7"/>
      <c r="AG74" s="5"/>
      <c r="AH74" s="7"/>
      <c r="AI74" s="5"/>
      <c r="AJ74" s="7"/>
      <c r="AK74" s="5"/>
      <c r="AL74" s="7"/>
      <c r="AM74" s="5"/>
      <c r="AN74" s="7"/>
      <c r="AO74" s="5"/>
      <c r="AP74" s="5"/>
      <c r="AQ74" s="6">
        <v>11</v>
      </c>
      <c r="AR74" s="7"/>
      <c r="AS74" s="6">
        <v>11</v>
      </c>
      <c r="AT74" s="7"/>
      <c r="AU74" s="6">
        <v>11</v>
      </c>
      <c r="AV74" s="7"/>
      <c r="AW74" s="5"/>
      <c r="AX74" s="5"/>
      <c r="AY74" s="6">
        <v>11</v>
      </c>
      <c r="AZ74" s="7"/>
      <c r="BA74" s="6">
        <v>11</v>
      </c>
      <c r="BB74" s="7"/>
      <c r="BC74" s="5"/>
      <c r="BD74" s="7"/>
      <c r="BE74" s="5"/>
      <c r="BF74" s="7"/>
      <c r="BG74" s="5"/>
      <c r="BH74" s="5"/>
      <c r="BI74" s="6"/>
      <c r="BJ74" s="7"/>
      <c r="BK74" s="5"/>
      <c r="BL74" s="5"/>
      <c r="BM74" s="6"/>
      <c r="BN74" s="7"/>
      <c r="BO74" s="5"/>
      <c r="BP74" s="5"/>
      <c r="BQ74" s="6"/>
      <c r="BR74" s="7"/>
      <c r="BS74" s="5"/>
      <c r="BT74" s="5"/>
      <c r="BU74" s="6"/>
      <c r="BV74" s="7"/>
      <c r="BW74" s="5"/>
      <c r="BX74" s="5"/>
      <c r="BY74" s="6"/>
      <c r="BZ74" s="7"/>
      <c r="CA74" s="5"/>
      <c r="CB74" s="5"/>
      <c r="CC74" s="6"/>
      <c r="CD74" s="7"/>
      <c r="CE74" s="5"/>
      <c r="CF74" s="5"/>
      <c r="CG74" s="6"/>
    </row>
    <row r="75" spans="2:85" s="15" customFormat="1" ht="16.2" thickBot="1" x14ac:dyDescent="0.35">
      <c r="B75" s="16"/>
      <c r="C75" s="143"/>
      <c r="D75" s="35"/>
      <c r="E75" s="36">
        <f>SUM(F75:CG75)</f>
        <v>30</v>
      </c>
      <c r="F75" s="7"/>
      <c r="G75" s="5"/>
      <c r="H75" s="5"/>
      <c r="I75" s="83"/>
      <c r="J75" s="83"/>
      <c r="K75" s="83"/>
      <c r="L75" s="6"/>
      <c r="M75" s="7"/>
      <c r="N75" s="5"/>
      <c r="O75" s="7"/>
      <c r="P75" s="5"/>
      <c r="Q75" s="7"/>
      <c r="R75" s="5"/>
      <c r="S75" s="7"/>
      <c r="T75" s="5"/>
      <c r="U75" s="7"/>
      <c r="V75" s="5"/>
      <c r="W75" s="7"/>
      <c r="X75" s="5"/>
      <c r="Y75" s="5"/>
      <c r="Z75" s="83"/>
      <c r="AA75" s="6"/>
      <c r="AB75" s="7"/>
      <c r="AC75" s="5"/>
      <c r="AD75" s="7"/>
      <c r="AE75" s="5"/>
      <c r="AF75" s="7"/>
      <c r="AG75" s="5"/>
      <c r="AH75" s="7"/>
      <c r="AI75" s="5"/>
      <c r="AJ75" s="7"/>
      <c r="AK75" s="5"/>
      <c r="AL75" s="7"/>
      <c r="AM75" s="5"/>
      <c r="AN75" s="7"/>
      <c r="AO75" s="5"/>
      <c r="AP75" s="5"/>
      <c r="AQ75" s="6">
        <v>10</v>
      </c>
      <c r="AR75" s="7"/>
      <c r="AS75" s="6">
        <v>5</v>
      </c>
      <c r="AT75" s="7"/>
      <c r="AU75" s="6">
        <v>5</v>
      </c>
      <c r="AV75" s="7"/>
      <c r="AW75" s="5"/>
      <c r="AX75" s="5"/>
      <c r="AY75" s="6">
        <v>5</v>
      </c>
      <c r="AZ75" s="7"/>
      <c r="BA75" s="6">
        <v>5</v>
      </c>
      <c r="BB75" s="7"/>
      <c r="BC75" s="5"/>
      <c r="BD75" s="7"/>
      <c r="BE75" s="5"/>
      <c r="BF75" s="7"/>
      <c r="BG75" s="5"/>
      <c r="BH75" s="5"/>
      <c r="BI75" s="6"/>
      <c r="BJ75" s="7"/>
      <c r="BK75" s="5"/>
      <c r="BL75" s="5"/>
      <c r="BM75" s="6"/>
      <c r="BN75" s="7"/>
      <c r="BO75" s="5"/>
      <c r="BP75" s="5"/>
      <c r="BQ75" s="6"/>
      <c r="BR75" s="7"/>
      <c r="BS75" s="5"/>
      <c r="BT75" s="5"/>
      <c r="BU75" s="6"/>
      <c r="BV75" s="7"/>
      <c r="BW75" s="5"/>
      <c r="BX75" s="5"/>
      <c r="BY75" s="6"/>
      <c r="BZ75" s="7"/>
      <c r="CA75" s="5"/>
      <c r="CB75" s="5"/>
      <c r="CC75" s="6"/>
      <c r="CD75" s="7"/>
      <c r="CE75" s="5"/>
      <c r="CF75" s="5"/>
      <c r="CG75" s="6"/>
    </row>
    <row r="76" spans="2:85" s="15" customFormat="1" ht="18" thickBot="1" x14ac:dyDescent="0.35">
      <c r="B76" s="31"/>
      <c r="C76" s="91" t="s">
        <v>42</v>
      </c>
      <c r="D76" s="91"/>
      <c r="E76" s="92"/>
      <c r="F76" s="7"/>
      <c r="G76" s="5"/>
      <c r="H76" s="5"/>
      <c r="I76" s="83"/>
      <c r="J76" s="83"/>
      <c r="K76" s="83"/>
      <c r="L76" s="6"/>
      <c r="M76" s="7"/>
      <c r="N76" s="5"/>
      <c r="O76" s="7"/>
      <c r="P76" s="5"/>
      <c r="Q76" s="7"/>
      <c r="R76" s="5"/>
      <c r="S76" s="7"/>
      <c r="T76" s="5"/>
      <c r="U76" s="7"/>
      <c r="V76" s="5"/>
      <c r="W76" s="7"/>
      <c r="X76" s="5"/>
      <c r="Y76" s="5"/>
      <c r="Z76" s="83"/>
      <c r="AA76" s="6"/>
      <c r="AB76" s="7"/>
      <c r="AC76" s="5"/>
      <c r="AD76" s="7"/>
      <c r="AE76" s="5"/>
      <c r="AF76" s="7"/>
      <c r="AG76" s="5"/>
      <c r="AH76" s="7"/>
      <c r="AI76" s="5"/>
      <c r="AJ76" s="7"/>
      <c r="AK76" s="5"/>
      <c r="AL76" s="7"/>
      <c r="AM76" s="5"/>
      <c r="AN76" s="7"/>
      <c r="AO76" s="5"/>
      <c r="AP76" s="5"/>
      <c r="AQ76" s="6"/>
      <c r="AR76" s="7"/>
      <c r="AS76" s="6"/>
      <c r="AT76" s="7"/>
      <c r="AU76" s="6"/>
      <c r="AV76" s="7"/>
      <c r="AW76" s="5"/>
      <c r="AX76" s="5"/>
      <c r="AY76" s="6"/>
      <c r="AZ76" s="7"/>
      <c r="BA76" s="6"/>
      <c r="BB76" s="7"/>
      <c r="BC76" s="5"/>
      <c r="BD76" s="7"/>
      <c r="BE76" s="5"/>
      <c r="BF76" s="7"/>
      <c r="BG76" s="5"/>
      <c r="BH76" s="5"/>
      <c r="BI76" s="6"/>
      <c r="BJ76" s="7"/>
      <c r="BK76" s="5"/>
      <c r="BL76" s="5"/>
      <c r="BM76" s="6"/>
      <c r="BN76" s="7"/>
      <c r="BO76" s="5"/>
      <c r="BP76" s="5"/>
      <c r="BQ76" s="6"/>
      <c r="BR76" s="7"/>
      <c r="BS76" s="5"/>
      <c r="BT76" s="5"/>
      <c r="BU76" s="6"/>
      <c r="BV76" s="7"/>
      <c r="BW76" s="5"/>
      <c r="BX76" s="5"/>
      <c r="BY76" s="6"/>
      <c r="BZ76" s="7"/>
      <c r="CA76" s="5"/>
      <c r="CB76" s="5"/>
      <c r="CC76" s="6"/>
      <c r="CD76" s="7"/>
      <c r="CE76" s="5"/>
      <c r="CF76" s="5"/>
      <c r="CG76" s="6"/>
    </row>
    <row r="77" spans="2:85" s="15" customFormat="1" ht="16.2" thickBot="1" x14ac:dyDescent="0.35">
      <c r="B77" s="16"/>
      <c r="C77" s="100" t="s">
        <v>43</v>
      </c>
      <c r="D77" s="33">
        <v>10</v>
      </c>
      <c r="E77" s="34"/>
      <c r="F77" s="7"/>
      <c r="G77" s="5"/>
      <c r="H77" s="5"/>
      <c r="I77" s="83"/>
      <c r="J77" s="83"/>
      <c r="K77" s="83"/>
      <c r="L77" s="6"/>
      <c r="M77" s="7"/>
      <c r="N77" s="5"/>
      <c r="O77" s="7"/>
      <c r="P77" s="5"/>
      <c r="Q77" s="7"/>
      <c r="R77" s="5"/>
      <c r="S77" s="7"/>
      <c r="T77" s="5"/>
      <c r="U77" s="7"/>
      <c r="V77" s="5"/>
      <c r="W77" s="7"/>
      <c r="X77" s="5"/>
      <c r="Y77" s="5"/>
      <c r="Z77" s="83"/>
      <c r="AA77" s="6"/>
      <c r="AB77" s="76"/>
      <c r="AC77" s="5"/>
      <c r="AD77" s="7"/>
      <c r="AE77" s="5"/>
      <c r="AF77" s="7"/>
      <c r="AG77" s="5"/>
      <c r="AH77" s="7"/>
      <c r="AI77" s="5"/>
      <c r="AJ77" s="7"/>
      <c r="AK77" s="5"/>
      <c r="AL77" s="7"/>
      <c r="AM77" s="5"/>
      <c r="AN77" s="7"/>
      <c r="AO77" s="5"/>
      <c r="AP77" s="5"/>
      <c r="AQ77" s="6"/>
      <c r="AR77" s="7"/>
      <c r="AS77" s="6"/>
      <c r="AT77" s="7"/>
      <c r="AU77" s="6"/>
      <c r="AV77" s="7"/>
      <c r="AW77" s="5"/>
      <c r="AX77" s="5"/>
      <c r="AY77" s="6"/>
      <c r="AZ77" s="7"/>
      <c r="BA77" s="6"/>
      <c r="BB77" s="7"/>
      <c r="BC77" s="5"/>
      <c r="BD77" s="7"/>
      <c r="BE77" s="5"/>
      <c r="BF77" s="7">
        <v>10</v>
      </c>
      <c r="BG77" s="5"/>
      <c r="BH77" s="5"/>
      <c r="BI77" s="6"/>
      <c r="BJ77" s="7"/>
      <c r="BK77" s="5"/>
      <c r="BL77" s="5"/>
      <c r="BM77" s="6"/>
      <c r="BN77" s="7"/>
      <c r="BO77" s="5"/>
      <c r="BP77" s="5"/>
      <c r="BQ77" s="6"/>
      <c r="BR77" s="7"/>
      <c r="BS77" s="5"/>
      <c r="BT77" s="5"/>
      <c r="BU77" s="6"/>
      <c r="BV77" s="7"/>
      <c r="BW77" s="5"/>
      <c r="BX77" s="5"/>
      <c r="BY77" s="6"/>
      <c r="BZ77" s="7"/>
      <c r="CA77" s="5"/>
      <c r="CB77" s="5"/>
      <c r="CC77" s="6"/>
      <c r="CD77" s="7"/>
      <c r="CE77" s="5"/>
      <c r="CF77" s="5"/>
      <c r="CG77" s="6"/>
    </row>
    <row r="78" spans="2:85" s="15" customFormat="1" ht="16.2" thickBot="1" x14ac:dyDescent="0.35">
      <c r="B78" s="16"/>
      <c r="C78" s="100"/>
      <c r="D78" s="35"/>
      <c r="E78" s="36">
        <f>SUM(F78:CG78)</f>
        <v>10</v>
      </c>
      <c r="F78" s="7"/>
      <c r="G78" s="5"/>
      <c r="H78" s="5"/>
      <c r="I78" s="83"/>
      <c r="J78" s="83"/>
      <c r="K78" s="83"/>
      <c r="L78" s="6"/>
      <c r="M78" s="7"/>
      <c r="N78" s="5"/>
      <c r="O78" s="7"/>
      <c r="P78" s="5"/>
      <c r="Q78" s="7"/>
      <c r="R78" s="5"/>
      <c r="S78" s="7"/>
      <c r="T78" s="5"/>
      <c r="U78" s="7"/>
      <c r="V78" s="5"/>
      <c r="W78" s="7"/>
      <c r="X78" s="5"/>
      <c r="Y78" s="5"/>
      <c r="Z78" s="83"/>
      <c r="AA78" s="6"/>
      <c r="AB78" s="7"/>
      <c r="AC78" s="5"/>
      <c r="AD78" s="7"/>
      <c r="AE78" s="5"/>
      <c r="AF78" s="7"/>
      <c r="AG78" s="5"/>
      <c r="AH78" s="7"/>
      <c r="AI78" s="5"/>
      <c r="AJ78" s="7"/>
      <c r="AK78" s="5"/>
      <c r="AL78" s="7"/>
      <c r="AM78" s="5"/>
      <c r="AN78" s="7"/>
      <c r="AO78" s="5"/>
      <c r="AP78" s="5"/>
      <c r="AQ78" s="6"/>
      <c r="AR78" s="7"/>
      <c r="AS78" s="6"/>
      <c r="AT78" s="7"/>
      <c r="AU78" s="6"/>
      <c r="AV78" s="7"/>
      <c r="AW78" s="5"/>
      <c r="AX78" s="5"/>
      <c r="AY78" s="6"/>
      <c r="AZ78" s="7"/>
      <c r="BA78" s="6"/>
      <c r="BB78" s="7"/>
      <c r="BC78" s="5"/>
      <c r="BD78" s="7"/>
      <c r="BE78" s="5"/>
      <c r="BF78" s="7">
        <v>10</v>
      </c>
      <c r="BG78" s="5"/>
      <c r="BH78" s="5"/>
      <c r="BI78" s="6"/>
      <c r="BJ78" s="7"/>
      <c r="BK78" s="5"/>
      <c r="BL78" s="5"/>
      <c r="BM78" s="6"/>
      <c r="BN78" s="7"/>
      <c r="BO78" s="5"/>
      <c r="BP78" s="5"/>
      <c r="BQ78" s="6"/>
      <c r="BR78" s="7"/>
      <c r="BS78" s="5"/>
      <c r="BT78" s="5"/>
      <c r="BU78" s="6"/>
      <c r="BV78" s="7"/>
      <c r="BW78" s="5"/>
      <c r="BX78" s="5"/>
      <c r="BY78" s="6"/>
      <c r="BZ78" s="7"/>
      <c r="CA78" s="5"/>
      <c r="CB78" s="5"/>
      <c r="CC78" s="6"/>
      <c r="CD78" s="7"/>
      <c r="CE78" s="5"/>
      <c r="CF78" s="5"/>
      <c r="CG78" s="6"/>
    </row>
    <row r="79" spans="2:85" s="15" customFormat="1" ht="16.2" thickBot="1" x14ac:dyDescent="0.35">
      <c r="B79" s="16"/>
      <c r="C79" s="100" t="s">
        <v>44</v>
      </c>
      <c r="D79" s="33">
        <v>2</v>
      </c>
      <c r="E79" s="34"/>
      <c r="F79" s="7"/>
      <c r="G79" s="5"/>
      <c r="H79" s="5"/>
      <c r="I79" s="83"/>
      <c r="J79" s="83"/>
      <c r="K79" s="83"/>
      <c r="L79" s="6"/>
      <c r="M79" s="7"/>
      <c r="N79" s="5"/>
      <c r="O79" s="7"/>
      <c r="P79" s="5"/>
      <c r="Q79" s="7"/>
      <c r="R79" s="5"/>
      <c r="S79" s="7"/>
      <c r="T79" s="5"/>
      <c r="U79" s="7"/>
      <c r="V79" s="5"/>
      <c r="W79" s="7"/>
      <c r="X79" s="5"/>
      <c r="Y79" s="5"/>
      <c r="Z79" s="83"/>
      <c r="AA79" s="6"/>
      <c r="AB79" s="76"/>
      <c r="AC79" s="77"/>
      <c r="AD79" s="7"/>
      <c r="AE79" s="5"/>
      <c r="AF79" s="7"/>
      <c r="AG79" s="5"/>
      <c r="AH79" s="7"/>
      <c r="AI79" s="5"/>
      <c r="AJ79" s="7"/>
      <c r="AK79" s="5"/>
      <c r="AL79" s="7"/>
      <c r="AM79" s="5"/>
      <c r="AN79" s="7"/>
      <c r="AO79" s="5"/>
      <c r="AP79" s="5"/>
      <c r="AQ79" s="6"/>
      <c r="AR79" s="7"/>
      <c r="AS79" s="6"/>
      <c r="AT79" s="7"/>
      <c r="AU79" s="6"/>
      <c r="AV79" s="7"/>
      <c r="AW79" s="5"/>
      <c r="AX79" s="5"/>
      <c r="AY79" s="6"/>
      <c r="AZ79" s="7"/>
      <c r="BA79" s="6"/>
      <c r="BB79" s="7"/>
      <c r="BC79" s="5"/>
      <c r="BD79" s="7"/>
      <c r="BE79" s="5"/>
      <c r="BF79" s="7"/>
      <c r="BG79" s="5"/>
      <c r="BH79" s="5"/>
      <c r="BI79" s="6"/>
      <c r="BJ79" s="7"/>
      <c r="BK79" s="5"/>
      <c r="BL79" s="5"/>
      <c r="BM79" s="6"/>
      <c r="BN79" s="7"/>
      <c r="BO79" s="5"/>
      <c r="BP79" s="5"/>
      <c r="BQ79" s="6"/>
      <c r="BR79" s="7"/>
      <c r="BS79" s="5"/>
      <c r="BT79" s="5"/>
      <c r="BU79" s="6"/>
      <c r="BV79" s="7"/>
      <c r="BW79" s="5"/>
      <c r="BX79" s="5"/>
      <c r="BY79" s="6"/>
      <c r="BZ79" s="7"/>
      <c r="CA79" s="5"/>
      <c r="CB79" s="5"/>
      <c r="CC79" s="6"/>
      <c r="CD79" s="7">
        <v>2</v>
      </c>
      <c r="CE79" s="5"/>
      <c r="CF79" s="5"/>
      <c r="CG79" s="6"/>
    </row>
    <row r="80" spans="2:85" s="15" customFormat="1" ht="16.2" thickBot="1" x14ac:dyDescent="0.35">
      <c r="B80" s="16"/>
      <c r="C80" s="100"/>
      <c r="D80" s="35"/>
      <c r="E80" s="36">
        <f>SUM(F80:CG80)</f>
        <v>2</v>
      </c>
      <c r="F80" s="7"/>
      <c r="G80" s="5"/>
      <c r="H80" s="5"/>
      <c r="I80" s="83"/>
      <c r="J80" s="83"/>
      <c r="K80" s="83"/>
      <c r="L80" s="6"/>
      <c r="M80" s="7"/>
      <c r="N80" s="5"/>
      <c r="O80" s="7"/>
      <c r="P80" s="5"/>
      <c r="Q80" s="7"/>
      <c r="R80" s="5"/>
      <c r="S80" s="7"/>
      <c r="T80" s="5"/>
      <c r="U80" s="7"/>
      <c r="V80" s="5"/>
      <c r="W80" s="7"/>
      <c r="X80" s="5"/>
      <c r="Y80" s="5"/>
      <c r="Z80" s="83"/>
      <c r="AA80" s="6"/>
      <c r="AB80" s="7"/>
      <c r="AC80" s="5"/>
      <c r="AD80" s="7"/>
      <c r="AE80" s="5"/>
      <c r="AF80" s="7"/>
      <c r="AG80" s="5"/>
      <c r="AH80" s="7"/>
      <c r="AI80" s="5"/>
      <c r="AJ80" s="7"/>
      <c r="AK80" s="5"/>
      <c r="AL80" s="7"/>
      <c r="AM80" s="5"/>
      <c r="AN80" s="7"/>
      <c r="AO80" s="5"/>
      <c r="AP80" s="5"/>
      <c r="AQ80" s="6"/>
      <c r="AR80" s="7"/>
      <c r="AS80" s="6"/>
      <c r="AT80" s="7"/>
      <c r="AU80" s="6"/>
      <c r="AV80" s="7"/>
      <c r="AW80" s="5"/>
      <c r="AX80" s="5"/>
      <c r="AY80" s="6"/>
      <c r="AZ80" s="7"/>
      <c r="BA80" s="6"/>
      <c r="BB80" s="7"/>
      <c r="BC80" s="5"/>
      <c r="BD80" s="7"/>
      <c r="BE80" s="5"/>
      <c r="BF80" s="7"/>
      <c r="BG80" s="5"/>
      <c r="BH80" s="5"/>
      <c r="BI80" s="6"/>
      <c r="BJ80" s="7"/>
      <c r="BK80" s="5"/>
      <c r="BL80" s="5"/>
      <c r="BM80" s="6"/>
      <c r="BN80" s="7"/>
      <c r="BO80" s="5"/>
      <c r="BP80" s="5"/>
      <c r="BQ80" s="6"/>
      <c r="BR80" s="7"/>
      <c r="BS80" s="5"/>
      <c r="BT80" s="5"/>
      <c r="BU80" s="6"/>
      <c r="BV80" s="7"/>
      <c r="BW80" s="5"/>
      <c r="BX80" s="5"/>
      <c r="BY80" s="6"/>
      <c r="BZ80" s="7"/>
      <c r="CA80" s="5"/>
      <c r="CB80" s="5"/>
      <c r="CC80" s="6"/>
      <c r="CD80" s="7">
        <v>2</v>
      </c>
      <c r="CE80" s="5"/>
      <c r="CF80" s="5"/>
      <c r="CG80" s="6"/>
    </row>
    <row r="81" spans="2:94" s="15" customFormat="1" ht="16.2" thickBot="1" x14ac:dyDescent="0.35">
      <c r="B81" s="16"/>
      <c r="C81" s="100" t="s">
        <v>87</v>
      </c>
      <c r="D81" s="33">
        <v>30</v>
      </c>
      <c r="E81" s="34"/>
      <c r="F81" s="7"/>
      <c r="G81" s="5"/>
      <c r="H81" s="5"/>
      <c r="I81" s="83"/>
      <c r="J81" s="83"/>
      <c r="K81" s="83"/>
      <c r="L81" s="6"/>
      <c r="M81" s="7"/>
      <c r="N81" s="5"/>
      <c r="O81" s="7"/>
      <c r="P81" s="5"/>
      <c r="Q81" s="7"/>
      <c r="R81" s="5"/>
      <c r="S81" s="7"/>
      <c r="T81" s="5"/>
      <c r="U81" s="7"/>
      <c r="V81" s="5"/>
      <c r="W81" s="7"/>
      <c r="X81" s="5"/>
      <c r="Y81" s="5"/>
      <c r="Z81" s="83"/>
      <c r="AA81" s="6"/>
      <c r="AB81" s="7"/>
      <c r="AC81" s="5"/>
      <c r="AD81" s="7"/>
      <c r="AE81" s="5"/>
      <c r="AF81" s="7"/>
      <c r="AG81" s="5"/>
      <c r="AH81" s="7"/>
      <c r="AI81" s="5"/>
      <c r="AJ81" s="7"/>
      <c r="AK81" s="5"/>
      <c r="AL81" s="7"/>
      <c r="AM81" s="5"/>
      <c r="AN81" s="7"/>
      <c r="AO81" s="5"/>
      <c r="AP81" s="5"/>
      <c r="AQ81" s="6"/>
      <c r="AR81" s="7"/>
      <c r="AS81" s="6"/>
      <c r="AT81" s="7"/>
      <c r="AU81" s="6"/>
      <c r="AV81" s="7"/>
      <c r="AW81" s="5"/>
      <c r="AX81" s="5"/>
      <c r="AY81" s="6"/>
      <c r="AZ81" s="7"/>
      <c r="BA81" s="6"/>
      <c r="BB81" s="7"/>
      <c r="BC81" s="5"/>
      <c r="BD81" s="7"/>
      <c r="BE81" s="5"/>
      <c r="BF81" s="7"/>
      <c r="BG81" s="5"/>
      <c r="BH81" s="5"/>
      <c r="BI81" s="6"/>
      <c r="BJ81" s="7">
        <v>10</v>
      </c>
      <c r="BK81" s="5"/>
      <c r="BL81" s="5"/>
      <c r="BM81" s="6"/>
      <c r="BN81" s="7">
        <v>10</v>
      </c>
      <c r="BO81" s="5"/>
      <c r="BP81" s="5"/>
      <c r="BQ81" s="6"/>
      <c r="BR81" s="7">
        <v>10</v>
      </c>
      <c r="BS81" s="5"/>
      <c r="BT81" s="5"/>
      <c r="BU81" s="6"/>
      <c r="BV81" s="7"/>
      <c r="BW81" s="5"/>
      <c r="BX81" s="5"/>
      <c r="BY81" s="6"/>
      <c r="BZ81" s="7"/>
      <c r="CA81" s="5"/>
      <c r="CB81" s="5"/>
      <c r="CC81" s="6"/>
      <c r="CD81" s="7"/>
      <c r="CE81" s="5"/>
      <c r="CF81" s="5"/>
      <c r="CG81" s="6"/>
    </row>
    <row r="82" spans="2:94" s="15" customFormat="1" ht="16.2" thickBot="1" x14ac:dyDescent="0.35">
      <c r="B82" s="16"/>
      <c r="C82" s="100"/>
      <c r="D82" s="35"/>
      <c r="E82" s="36">
        <f>SUM(F82:CG82)</f>
        <v>30</v>
      </c>
      <c r="F82" s="7"/>
      <c r="G82" s="5"/>
      <c r="H82" s="5"/>
      <c r="I82" s="83"/>
      <c r="J82" s="83"/>
      <c r="K82" s="83"/>
      <c r="L82" s="6"/>
      <c r="M82" s="7"/>
      <c r="N82" s="5"/>
      <c r="O82" s="7"/>
      <c r="P82" s="5"/>
      <c r="Q82" s="7"/>
      <c r="R82" s="5"/>
      <c r="S82" s="7"/>
      <c r="T82" s="5"/>
      <c r="U82" s="7"/>
      <c r="V82" s="5"/>
      <c r="W82" s="7"/>
      <c r="X82" s="5"/>
      <c r="Y82" s="5"/>
      <c r="Z82" s="83"/>
      <c r="AA82" s="6"/>
      <c r="AB82" s="7"/>
      <c r="AC82" s="5"/>
      <c r="AD82" s="7"/>
      <c r="AE82" s="5"/>
      <c r="AF82" s="7"/>
      <c r="AG82" s="5"/>
      <c r="AH82" s="7"/>
      <c r="AI82" s="5"/>
      <c r="AJ82" s="7"/>
      <c r="AK82" s="5"/>
      <c r="AL82" s="7"/>
      <c r="AM82" s="5"/>
      <c r="AN82" s="7"/>
      <c r="AO82" s="5"/>
      <c r="AP82" s="5"/>
      <c r="AQ82" s="6"/>
      <c r="AR82" s="7"/>
      <c r="AS82" s="6"/>
      <c r="AT82" s="7"/>
      <c r="AU82" s="6"/>
      <c r="AV82" s="7"/>
      <c r="AW82" s="5"/>
      <c r="AX82" s="5"/>
      <c r="AY82" s="6"/>
      <c r="AZ82" s="7"/>
      <c r="BA82" s="6"/>
      <c r="BB82" s="7"/>
      <c r="BC82" s="5"/>
      <c r="BD82" s="7"/>
      <c r="BE82" s="5"/>
      <c r="BF82" s="7"/>
      <c r="BG82" s="5"/>
      <c r="BH82" s="5"/>
      <c r="BI82" s="6"/>
      <c r="BJ82" s="7">
        <v>10</v>
      </c>
      <c r="BK82" s="5"/>
      <c r="BL82" s="5"/>
      <c r="BM82" s="6"/>
      <c r="BN82" s="7">
        <v>10</v>
      </c>
      <c r="BO82" s="5"/>
      <c r="BP82" s="5"/>
      <c r="BQ82" s="6"/>
      <c r="BR82" s="7">
        <v>10</v>
      </c>
      <c r="BS82" s="5"/>
      <c r="BT82" s="5"/>
      <c r="BU82" s="6"/>
      <c r="BV82" s="7"/>
      <c r="BW82" s="5"/>
      <c r="BX82" s="5"/>
      <c r="BY82" s="6"/>
      <c r="BZ82" s="7"/>
      <c r="CA82" s="5"/>
      <c r="CB82" s="5"/>
      <c r="CC82" s="6"/>
      <c r="CD82" s="7"/>
      <c r="CE82" s="5"/>
      <c r="CF82" s="5"/>
      <c r="CG82" s="6"/>
    </row>
    <row r="83" spans="2:94" s="15" customFormat="1" ht="16.2" thickBot="1" x14ac:dyDescent="0.35">
      <c r="B83" s="16"/>
      <c r="C83" s="100" t="s">
        <v>88</v>
      </c>
      <c r="D83" s="33">
        <v>10</v>
      </c>
      <c r="E83" s="34"/>
      <c r="F83" s="7"/>
      <c r="G83" s="5"/>
      <c r="H83" s="5"/>
      <c r="I83" s="83"/>
      <c r="J83" s="83"/>
      <c r="K83" s="83"/>
      <c r="L83" s="6"/>
      <c r="M83" s="7"/>
      <c r="N83" s="5"/>
      <c r="O83" s="7"/>
      <c r="P83" s="5"/>
      <c r="Q83" s="7"/>
      <c r="R83" s="5"/>
      <c r="S83" s="7"/>
      <c r="T83" s="5"/>
      <c r="U83" s="7"/>
      <c r="V83" s="5"/>
      <c r="W83" s="7"/>
      <c r="X83" s="5"/>
      <c r="Y83" s="5"/>
      <c r="Z83" s="83"/>
      <c r="AA83" s="6"/>
      <c r="AB83" s="7"/>
      <c r="AC83" s="5"/>
      <c r="AD83" s="7"/>
      <c r="AE83" s="5"/>
      <c r="AF83" s="7"/>
      <c r="AG83" s="5"/>
      <c r="AH83" s="7"/>
      <c r="AI83" s="5"/>
      <c r="AJ83" s="7"/>
      <c r="AK83" s="5"/>
      <c r="AL83" s="7"/>
      <c r="AM83" s="5"/>
      <c r="AN83" s="7"/>
      <c r="AO83" s="5"/>
      <c r="AP83" s="5"/>
      <c r="AQ83" s="6"/>
      <c r="AR83" s="7"/>
      <c r="AS83" s="6"/>
      <c r="AT83" s="7"/>
      <c r="AU83" s="6"/>
      <c r="AV83" s="7"/>
      <c r="AW83" s="5"/>
      <c r="AX83" s="5"/>
      <c r="AY83" s="6"/>
      <c r="AZ83" s="7"/>
      <c r="BA83" s="6"/>
      <c r="BB83" s="7"/>
      <c r="BC83" s="5"/>
      <c r="BD83" s="7"/>
      <c r="BE83" s="5"/>
      <c r="BF83" s="7"/>
      <c r="BG83" s="5"/>
      <c r="BH83" s="5"/>
      <c r="BI83" s="6"/>
      <c r="BJ83" s="7"/>
      <c r="BK83" s="5"/>
      <c r="BL83" s="5"/>
      <c r="BM83" s="6"/>
      <c r="BN83" s="7"/>
      <c r="BO83" s="5"/>
      <c r="BP83" s="5"/>
      <c r="BQ83" s="6"/>
      <c r="BR83" s="7"/>
      <c r="BS83" s="5">
        <v>10</v>
      </c>
      <c r="BT83" s="5"/>
      <c r="BU83" s="6"/>
      <c r="BV83" s="7"/>
      <c r="BW83" s="5"/>
      <c r="BX83" s="5"/>
      <c r="BY83" s="6"/>
      <c r="BZ83" s="7"/>
      <c r="CA83" s="5"/>
      <c r="CB83" s="5"/>
      <c r="CC83" s="6"/>
      <c r="CD83" s="7"/>
      <c r="CE83" s="5"/>
      <c r="CF83" s="5"/>
      <c r="CG83" s="6"/>
    </row>
    <row r="84" spans="2:94" s="15" customFormat="1" ht="16.2" thickBot="1" x14ac:dyDescent="0.35">
      <c r="B84" s="16"/>
      <c r="C84" s="100"/>
      <c r="D84" s="35"/>
      <c r="E84" s="36">
        <f>SUM(F84:CG84)</f>
        <v>10</v>
      </c>
      <c r="F84" s="7"/>
      <c r="G84" s="5"/>
      <c r="H84" s="5"/>
      <c r="I84" s="83"/>
      <c r="J84" s="83"/>
      <c r="K84" s="83"/>
      <c r="L84" s="6"/>
      <c r="M84" s="7"/>
      <c r="N84" s="5"/>
      <c r="O84" s="7"/>
      <c r="P84" s="5"/>
      <c r="Q84" s="7"/>
      <c r="R84" s="5"/>
      <c r="S84" s="7"/>
      <c r="T84" s="5"/>
      <c r="U84" s="7"/>
      <c r="V84" s="5"/>
      <c r="W84" s="7"/>
      <c r="X84" s="5"/>
      <c r="Y84" s="5"/>
      <c r="Z84" s="83"/>
      <c r="AA84" s="6"/>
      <c r="AB84" s="7"/>
      <c r="AC84" s="5"/>
      <c r="AD84" s="7"/>
      <c r="AE84" s="5"/>
      <c r="AF84" s="7"/>
      <c r="AG84" s="5"/>
      <c r="AH84" s="7"/>
      <c r="AI84" s="5"/>
      <c r="AJ84" s="7"/>
      <c r="AK84" s="5"/>
      <c r="AL84" s="7"/>
      <c r="AM84" s="5"/>
      <c r="AN84" s="7"/>
      <c r="AO84" s="5"/>
      <c r="AP84" s="5"/>
      <c r="AQ84" s="6"/>
      <c r="AR84" s="7"/>
      <c r="AS84" s="6"/>
      <c r="AT84" s="7"/>
      <c r="AU84" s="6"/>
      <c r="AV84" s="7"/>
      <c r="AW84" s="5"/>
      <c r="AX84" s="5"/>
      <c r="AY84" s="6"/>
      <c r="AZ84" s="7"/>
      <c r="BA84" s="6"/>
      <c r="BB84" s="7"/>
      <c r="BC84" s="5"/>
      <c r="BD84" s="7"/>
      <c r="BE84" s="5"/>
      <c r="BF84" s="7"/>
      <c r="BG84" s="5"/>
      <c r="BH84" s="5"/>
      <c r="BI84" s="6"/>
      <c r="BJ84" s="7"/>
      <c r="BK84" s="5"/>
      <c r="BL84" s="5"/>
      <c r="BM84" s="6"/>
      <c r="BN84" s="7"/>
      <c r="BO84" s="5"/>
      <c r="BP84" s="5"/>
      <c r="BQ84" s="6"/>
      <c r="BR84" s="7"/>
      <c r="BS84" s="5">
        <v>10</v>
      </c>
      <c r="BT84" s="5"/>
      <c r="BU84" s="6"/>
      <c r="BV84" s="7"/>
      <c r="BW84" s="5"/>
      <c r="BX84" s="5"/>
      <c r="BY84" s="6"/>
      <c r="BZ84" s="7"/>
      <c r="CA84" s="5"/>
      <c r="CB84" s="5"/>
      <c r="CC84" s="6"/>
      <c r="CD84" s="7"/>
      <c r="CE84" s="5"/>
      <c r="CF84" s="5"/>
      <c r="CG84" s="6"/>
    </row>
    <row r="85" spans="2:94" s="15" customFormat="1" ht="18" thickBot="1" x14ac:dyDescent="0.35">
      <c r="B85" s="31"/>
      <c r="C85" s="91" t="s">
        <v>45</v>
      </c>
      <c r="D85" s="91"/>
      <c r="E85" s="92"/>
      <c r="F85" s="7"/>
      <c r="G85" s="5"/>
      <c r="H85" s="5"/>
      <c r="I85" s="83"/>
      <c r="J85" s="83"/>
      <c r="K85" s="83"/>
      <c r="L85" s="6"/>
      <c r="M85" s="7"/>
      <c r="N85" s="5"/>
      <c r="O85" s="7"/>
      <c r="P85" s="5"/>
      <c r="Q85" s="7"/>
      <c r="R85" s="5"/>
      <c r="S85" s="7"/>
      <c r="T85" s="5"/>
      <c r="U85" s="7"/>
      <c r="V85" s="5"/>
      <c r="W85" s="7"/>
      <c r="X85" s="5"/>
      <c r="Y85" s="5"/>
      <c r="Z85" s="83"/>
      <c r="AA85" s="6"/>
      <c r="AB85" s="7"/>
      <c r="AC85" s="5"/>
      <c r="AD85" s="7"/>
      <c r="AE85" s="5"/>
      <c r="AF85" s="7"/>
      <c r="AG85" s="5"/>
      <c r="AH85" s="7"/>
      <c r="AI85" s="5"/>
      <c r="AJ85" s="7"/>
      <c r="AK85" s="5"/>
      <c r="AL85" s="7"/>
      <c r="AM85" s="5"/>
      <c r="AN85" s="7"/>
      <c r="AO85" s="5"/>
      <c r="AP85" s="5"/>
      <c r="AQ85" s="6"/>
      <c r="AR85" s="7"/>
      <c r="AS85" s="6"/>
      <c r="AT85" s="7"/>
      <c r="AU85" s="6"/>
      <c r="AV85" s="7"/>
      <c r="AW85" s="5"/>
      <c r="AX85" s="5"/>
      <c r="AY85" s="6"/>
      <c r="AZ85" s="7"/>
      <c r="BA85" s="6"/>
      <c r="BB85" s="7"/>
      <c r="BC85" s="5"/>
      <c r="BD85" s="7"/>
      <c r="BE85" s="5"/>
      <c r="BF85" s="7"/>
      <c r="BG85" s="5"/>
      <c r="BH85" s="5"/>
      <c r="BI85" s="6"/>
      <c r="BJ85" s="7"/>
      <c r="BK85" s="5"/>
      <c r="BL85" s="5"/>
      <c r="BM85" s="6"/>
      <c r="BN85" s="7"/>
      <c r="BO85" s="5"/>
      <c r="BP85" s="5"/>
      <c r="BQ85" s="6"/>
      <c r="BR85" s="7"/>
      <c r="BS85" s="5"/>
      <c r="BT85" s="5"/>
      <c r="BU85" s="6"/>
      <c r="BV85" s="7"/>
      <c r="BW85" s="5"/>
      <c r="BX85" s="5"/>
      <c r="BY85" s="6"/>
      <c r="BZ85" s="7"/>
      <c r="CA85" s="5"/>
      <c r="CB85" s="5"/>
      <c r="CC85" s="6"/>
      <c r="CD85" s="7"/>
      <c r="CE85" s="5"/>
      <c r="CF85" s="5"/>
      <c r="CG85" s="6"/>
    </row>
    <row r="86" spans="2:94" s="15" customFormat="1" ht="16.2" thickBot="1" x14ac:dyDescent="0.35">
      <c r="B86" s="16"/>
      <c r="C86" s="100" t="s">
        <v>46</v>
      </c>
      <c r="D86" s="33">
        <v>5</v>
      </c>
      <c r="E86" s="34"/>
      <c r="F86" s="7"/>
      <c r="G86" s="5"/>
      <c r="H86" s="5"/>
      <c r="I86" s="83"/>
      <c r="J86" s="83"/>
      <c r="K86" s="83"/>
      <c r="L86" s="6"/>
      <c r="M86" s="7"/>
      <c r="N86" s="5"/>
      <c r="O86" s="7"/>
      <c r="P86" s="5"/>
      <c r="Q86" s="7"/>
      <c r="R86" s="5"/>
      <c r="S86" s="7"/>
      <c r="T86" s="5"/>
      <c r="U86" s="7"/>
      <c r="V86" s="5"/>
      <c r="W86" s="7"/>
      <c r="X86" s="5"/>
      <c r="Y86" s="5"/>
      <c r="Z86" s="83"/>
      <c r="AA86" s="6"/>
      <c r="AB86" s="7"/>
      <c r="AC86" s="5"/>
      <c r="AD86" s="7"/>
      <c r="AE86" s="5"/>
      <c r="AF86" s="7"/>
      <c r="AG86" s="5"/>
      <c r="AH86" s="7"/>
      <c r="AI86" s="5"/>
      <c r="AJ86" s="7"/>
      <c r="AK86" s="5"/>
      <c r="AL86" s="7"/>
      <c r="AM86" s="5"/>
      <c r="AN86" s="7"/>
      <c r="AO86" s="5"/>
      <c r="AP86" s="5"/>
      <c r="AQ86" s="6"/>
      <c r="AR86" s="7"/>
      <c r="AS86" s="6"/>
      <c r="AT86" s="7"/>
      <c r="AU86" s="6"/>
      <c r="AV86" s="7"/>
      <c r="AW86" s="5"/>
      <c r="AX86" s="5"/>
      <c r="AY86" s="6"/>
      <c r="AZ86" s="7"/>
      <c r="BA86" s="6"/>
      <c r="BB86" s="7"/>
      <c r="BC86" s="5"/>
      <c r="BD86" s="7"/>
      <c r="BE86" s="5"/>
      <c r="BF86" s="7"/>
      <c r="BG86" s="5"/>
      <c r="BH86" s="5"/>
      <c r="BI86" s="6"/>
      <c r="BJ86" s="7"/>
      <c r="BK86" s="5"/>
      <c r="BL86" s="5"/>
      <c r="BM86" s="6"/>
      <c r="BN86" s="7"/>
      <c r="BO86" s="5"/>
      <c r="BP86" s="5"/>
      <c r="BQ86" s="6"/>
      <c r="BR86" s="7"/>
      <c r="BS86" s="5"/>
      <c r="BT86" s="5"/>
      <c r="BU86" s="6"/>
      <c r="BV86" s="7"/>
      <c r="BW86" s="5"/>
      <c r="BX86" s="5"/>
      <c r="BY86" s="6"/>
      <c r="BZ86" s="7">
        <v>2.5</v>
      </c>
      <c r="CA86" s="5"/>
      <c r="CB86" s="5"/>
      <c r="CC86" s="6"/>
      <c r="CD86" s="7">
        <v>2.5</v>
      </c>
      <c r="CE86" s="5"/>
      <c r="CF86" s="5"/>
      <c r="CG86" s="6"/>
    </row>
    <row r="87" spans="2:94" s="15" customFormat="1" ht="16.2" thickBot="1" x14ac:dyDescent="0.35">
      <c r="B87" s="16"/>
      <c r="C87" s="100"/>
      <c r="D87" s="35"/>
      <c r="E87" s="36">
        <f>SUM(F87:CG87)</f>
        <v>5</v>
      </c>
      <c r="F87" s="7"/>
      <c r="G87" s="5"/>
      <c r="H87" s="5"/>
      <c r="I87" s="83"/>
      <c r="J87" s="83"/>
      <c r="K87" s="83"/>
      <c r="L87" s="6"/>
      <c r="M87" s="7"/>
      <c r="N87" s="5"/>
      <c r="O87" s="7"/>
      <c r="P87" s="5"/>
      <c r="Q87" s="7"/>
      <c r="R87" s="5"/>
      <c r="S87" s="7"/>
      <c r="T87" s="5"/>
      <c r="U87" s="7"/>
      <c r="V87" s="5"/>
      <c r="W87" s="7"/>
      <c r="X87" s="5"/>
      <c r="Y87" s="5"/>
      <c r="Z87" s="83"/>
      <c r="AA87" s="6"/>
      <c r="AB87" s="7"/>
      <c r="AC87" s="5"/>
      <c r="AD87" s="7"/>
      <c r="AE87" s="5"/>
      <c r="AF87" s="7"/>
      <c r="AG87" s="5"/>
      <c r="AH87" s="7"/>
      <c r="AI87" s="5"/>
      <c r="AJ87" s="7"/>
      <c r="AK87" s="5"/>
      <c r="AL87" s="7"/>
      <c r="AM87" s="5"/>
      <c r="AN87" s="7"/>
      <c r="AO87" s="5"/>
      <c r="AP87" s="5"/>
      <c r="AQ87" s="6"/>
      <c r="AR87" s="7"/>
      <c r="AS87" s="6"/>
      <c r="AT87" s="7"/>
      <c r="AU87" s="6"/>
      <c r="AV87" s="7"/>
      <c r="AW87" s="5"/>
      <c r="AX87" s="5"/>
      <c r="AY87" s="6"/>
      <c r="AZ87" s="7"/>
      <c r="BA87" s="6"/>
      <c r="BB87" s="7"/>
      <c r="BC87" s="5"/>
      <c r="BD87" s="7"/>
      <c r="BE87" s="5"/>
      <c r="BF87" s="7"/>
      <c r="BG87" s="5"/>
      <c r="BH87" s="5"/>
      <c r="BI87" s="6"/>
      <c r="BJ87" s="7"/>
      <c r="BK87" s="5"/>
      <c r="BL87" s="5"/>
      <c r="BM87" s="6"/>
      <c r="BN87" s="7"/>
      <c r="BO87" s="5"/>
      <c r="BP87" s="5"/>
      <c r="BQ87" s="6"/>
      <c r="BR87" s="7"/>
      <c r="BS87" s="5"/>
      <c r="BT87" s="5"/>
      <c r="BU87" s="6"/>
      <c r="BV87" s="7"/>
      <c r="BW87" s="5"/>
      <c r="BX87" s="5"/>
      <c r="BY87" s="6"/>
      <c r="BZ87" s="7">
        <v>2.5</v>
      </c>
      <c r="CA87" s="5"/>
      <c r="CB87" s="5"/>
      <c r="CC87" s="6"/>
      <c r="CD87" s="7">
        <v>2.5</v>
      </c>
      <c r="CE87" s="5"/>
      <c r="CF87" s="5"/>
      <c r="CG87" s="6"/>
    </row>
    <row r="88" spans="2:94" s="15" customFormat="1" ht="16.2" thickBot="1" x14ac:dyDescent="0.35">
      <c r="B88" s="16"/>
      <c r="C88" s="100" t="s">
        <v>86</v>
      </c>
      <c r="D88" s="33">
        <v>1</v>
      </c>
      <c r="E88" s="34"/>
      <c r="F88" s="7"/>
      <c r="G88" s="5"/>
      <c r="H88" s="5"/>
      <c r="I88" s="83"/>
      <c r="J88" s="83"/>
      <c r="K88" s="83"/>
      <c r="L88" s="6"/>
      <c r="M88" s="7"/>
      <c r="N88" s="5"/>
      <c r="O88" s="7"/>
      <c r="P88" s="5"/>
      <c r="Q88" s="7"/>
      <c r="R88" s="5"/>
      <c r="S88" s="7"/>
      <c r="T88" s="5"/>
      <c r="U88" s="7"/>
      <c r="V88" s="5"/>
      <c r="W88" s="7"/>
      <c r="X88" s="5"/>
      <c r="Y88" s="5"/>
      <c r="Z88" s="83"/>
      <c r="AA88" s="6"/>
      <c r="AB88" s="7"/>
      <c r="AC88" s="5"/>
      <c r="AD88" s="7"/>
      <c r="AE88" s="5"/>
      <c r="AF88" s="7"/>
      <c r="AG88" s="5"/>
      <c r="AH88" s="7"/>
      <c r="AI88" s="5"/>
      <c r="AJ88" s="7"/>
      <c r="AK88" s="5"/>
      <c r="AL88" s="7"/>
      <c r="AM88" s="5"/>
      <c r="AN88" s="7"/>
      <c r="AO88" s="5"/>
      <c r="AP88" s="5"/>
      <c r="AQ88" s="6"/>
      <c r="AR88" s="7"/>
      <c r="AS88" s="6"/>
      <c r="AT88" s="7"/>
      <c r="AU88" s="6"/>
      <c r="AV88" s="7"/>
      <c r="AW88" s="5"/>
      <c r="AX88" s="5"/>
      <c r="AY88" s="6"/>
      <c r="AZ88" s="7"/>
      <c r="BA88" s="6"/>
      <c r="BB88" s="7"/>
      <c r="BC88" s="5"/>
      <c r="BD88" s="7"/>
      <c r="BE88" s="5"/>
      <c r="BF88" s="7"/>
      <c r="BG88" s="5"/>
      <c r="BH88" s="5"/>
      <c r="BI88" s="6"/>
      <c r="BJ88" s="7"/>
      <c r="BK88" s="5"/>
      <c r="BL88" s="5"/>
      <c r="BM88" s="6"/>
      <c r="BN88" s="7"/>
      <c r="BO88" s="5"/>
      <c r="BP88" s="5"/>
      <c r="BQ88" s="6"/>
      <c r="BR88" s="7"/>
      <c r="BS88" s="5"/>
      <c r="BT88" s="5"/>
      <c r="BU88" s="6"/>
      <c r="BV88" s="7"/>
      <c r="BW88" s="5"/>
      <c r="BX88" s="5"/>
      <c r="BY88" s="6"/>
      <c r="BZ88" s="7"/>
      <c r="CA88" s="5"/>
      <c r="CB88" s="5"/>
      <c r="CC88" s="6"/>
      <c r="CD88" s="7"/>
      <c r="CE88" s="5">
        <v>1</v>
      </c>
      <c r="CF88" s="5"/>
      <c r="CG88" s="6"/>
    </row>
    <row r="89" spans="2:94" s="15" customFormat="1" ht="16.2" thickBot="1" x14ac:dyDescent="0.35">
      <c r="B89" s="16"/>
      <c r="C89" s="100"/>
      <c r="D89" s="35"/>
      <c r="E89" s="36">
        <f>SUM(F89:CG89)</f>
        <v>1</v>
      </c>
      <c r="F89" s="7"/>
      <c r="G89" s="5"/>
      <c r="H89" s="5"/>
      <c r="I89" s="83"/>
      <c r="J89" s="83"/>
      <c r="K89" s="83"/>
      <c r="L89" s="6"/>
      <c r="M89" s="7"/>
      <c r="N89" s="5"/>
      <c r="O89" s="7"/>
      <c r="P89" s="5"/>
      <c r="Q89" s="7"/>
      <c r="R89" s="5"/>
      <c r="S89" s="7"/>
      <c r="T89" s="5"/>
      <c r="U89" s="7"/>
      <c r="V89" s="5"/>
      <c r="W89" s="7"/>
      <c r="X89" s="5"/>
      <c r="Y89" s="5"/>
      <c r="Z89" s="83"/>
      <c r="AA89" s="6"/>
      <c r="AB89" s="7"/>
      <c r="AC89" s="5"/>
      <c r="AD89" s="7"/>
      <c r="AE89" s="5"/>
      <c r="AF89" s="7"/>
      <c r="AG89" s="5"/>
      <c r="AH89" s="7"/>
      <c r="AI89" s="5"/>
      <c r="AJ89" s="7"/>
      <c r="AK89" s="5"/>
      <c r="AL89" s="7"/>
      <c r="AM89" s="5"/>
      <c r="AN89" s="7"/>
      <c r="AO89" s="5"/>
      <c r="AP89" s="5"/>
      <c r="AQ89" s="6"/>
      <c r="AR89" s="7"/>
      <c r="AS89" s="6"/>
      <c r="AT89" s="7"/>
      <c r="AU89" s="6"/>
      <c r="AV89" s="7"/>
      <c r="AW89" s="5"/>
      <c r="AX89" s="5"/>
      <c r="AY89" s="6"/>
      <c r="AZ89" s="7"/>
      <c r="BA89" s="6"/>
      <c r="BB89" s="7"/>
      <c r="BC89" s="5"/>
      <c r="BD89" s="7"/>
      <c r="BE89" s="5"/>
      <c r="BF89" s="7"/>
      <c r="BG89" s="5"/>
      <c r="BH89" s="5"/>
      <c r="BI89" s="6"/>
      <c r="BJ89" s="7"/>
      <c r="BK89" s="5"/>
      <c r="BL89" s="5"/>
      <c r="BM89" s="6"/>
      <c r="BN89" s="7"/>
      <c r="BO89" s="5"/>
      <c r="BP89" s="5"/>
      <c r="BQ89" s="6"/>
      <c r="BR89" s="7"/>
      <c r="BS89" s="5"/>
      <c r="BT89" s="5"/>
      <c r="BU89" s="6"/>
      <c r="BV89" s="7"/>
      <c r="BW89" s="5"/>
      <c r="BX89" s="5"/>
      <c r="BY89" s="6"/>
      <c r="BZ89" s="7"/>
      <c r="CA89" s="5"/>
      <c r="CB89" s="5"/>
      <c r="CC89" s="6"/>
      <c r="CD89" s="7"/>
      <c r="CE89" s="5">
        <v>1</v>
      </c>
      <c r="CF89" s="5"/>
      <c r="CG89" s="6"/>
    </row>
    <row r="90" spans="2:94" s="15" customFormat="1" ht="16.2" thickBot="1" x14ac:dyDescent="0.35">
      <c r="B90" s="16"/>
      <c r="C90" s="100" t="s">
        <v>91</v>
      </c>
      <c r="D90" s="33">
        <v>15</v>
      </c>
      <c r="E90" s="34"/>
      <c r="F90" s="7"/>
      <c r="G90" s="5"/>
      <c r="H90" s="5"/>
      <c r="I90" s="83"/>
      <c r="J90" s="83"/>
      <c r="K90" s="83"/>
      <c r="L90" s="6"/>
      <c r="M90" s="7"/>
      <c r="N90" s="5"/>
      <c r="O90" s="7"/>
      <c r="P90" s="5"/>
      <c r="Q90" s="7"/>
      <c r="R90" s="5"/>
      <c r="S90" s="7"/>
      <c r="T90" s="5"/>
      <c r="U90" s="7"/>
      <c r="V90" s="5"/>
      <c r="W90" s="7"/>
      <c r="X90" s="5"/>
      <c r="Y90" s="5"/>
      <c r="Z90" s="83"/>
      <c r="AA90" s="6"/>
      <c r="AB90" s="7"/>
      <c r="AC90" s="5"/>
      <c r="AD90" s="7"/>
      <c r="AE90" s="5"/>
      <c r="AF90" s="7"/>
      <c r="AG90" s="5"/>
      <c r="AH90" s="7"/>
      <c r="AI90" s="5"/>
      <c r="AJ90" s="7"/>
      <c r="AK90" s="5"/>
      <c r="AL90" s="7"/>
      <c r="AM90" s="5"/>
      <c r="AN90" s="7"/>
      <c r="AO90" s="5"/>
      <c r="AP90" s="5"/>
      <c r="AQ90" s="6"/>
      <c r="AR90" s="7"/>
      <c r="AS90" s="6"/>
      <c r="AT90" s="7"/>
      <c r="AU90" s="6"/>
      <c r="AV90" s="7"/>
      <c r="AW90" s="5"/>
      <c r="AX90" s="5"/>
      <c r="AY90" s="6"/>
      <c r="AZ90" s="7"/>
      <c r="BA90" s="6"/>
      <c r="BB90" s="7"/>
      <c r="BC90" s="5"/>
      <c r="BD90" s="7"/>
      <c r="BE90" s="5"/>
      <c r="BF90" s="7"/>
      <c r="BG90" s="5"/>
      <c r="BH90" s="5"/>
      <c r="BI90" s="6"/>
      <c r="BJ90" s="7"/>
      <c r="BK90" s="5"/>
      <c r="BL90" s="5"/>
      <c r="BM90" s="6"/>
      <c r="BN90" s="7"/>
      <c r="BO90" s="5"/>
      <c r="BP90" s="5"/>
      <c r="BQ90" s="6"/>
      <c r="BR90" s="7"/>
      <c r="BS90" s="5"/>
      <c r="BT90" s="5"/>
      <c r="BU90" s="6"/>
      <c r="BV90" s="7">
        <v>5</v>
      </c>
      <c r="BW90" s="5"/>
      <c r="BX90" s="5"/>
      <c r="BY90" s="6"/>
      <c r="BZ90" s="7"/>
      <c r="CA90" s="5">
        <v>5</v>
      </c>
      <c r="CB90" s="5"/>
      <c r="CC90" s="6"/>
      <c r="CD90" s="7"/>
      <c r="CE90" s="5">
        <v>5</v>
      </c>
      <c r="CF90" s="5"/>
      <c r="CG90" s="6"/>
    </row>
    <row r="91" spans="2:94" s="15" customFormat="1" ht="16.2" thickBot="1" x14ac:dyDescent="0.35">
      <c r="B91" s="16"/>
      <c r="C91" s="100"/>
      <c r="D91" s="35"/>
      <c r="E91" s="36">
        <f>SUM(F91:CG91)</f>
        <v>15</v>
      </c>
      <c r="F91" s="7"/>
      <c r="G91" s="5"/>
      <c r="H91" s="5"/>
      <c r="I91" s="83"/>
      <c r="J91" s="83"/>
      <c r="K91" s="83"/>
      <c r="L91" s="6"/>
      <c r="M91" s="7"/>
      <c r="N91" s="5"/>
      <c r="O91" s="7"/>
      <c r="P91" s="5"/>
      <c r="Q91" s="7"/>
      <c r="R91" s="5"/>
      <c r="S91" s="7"/>
      <c r="T91" s="5"/>
      <c r="U91" s="7"/>
      <c r="V91" s="5"/>
      <c r="W91" s="7"/>
      <c r="X91" s="5"/>
      <c r="Y91" s="5"/>
      <c r="Z91" s="83"/>
      <c r="AA91" s="6"/>
      <c r="AB91" s="7"/>
      <c r="AC91" s="5"/>
      <c r="AD91" s="7"/>
      <c r="AE91" s="5"/>
      <c r="AF91" s="7"/>
      <c r="AG91" s="5"/>
      <c r="AH91" s="7"/>
      <c r="AI91" s="5"/>
      <c r="AJ91" s="7"/>
      <c r="AK91" s="7"/>
      <c r="AL91" s="7"/>
      <c r="AM91" s="7"/>
      <c r="AN91" s="7"/>
      <c r="AO91" s="7"/>
      <c r="AP91" s="5"/>
      <c r="AQ91" s="6"/>
      <c r="AR91" s="7"/>
      <c r="AS91" s="6"/>
      <c r="AT91" s="7"/>
      <c r="AU91" s="6"/>
      <c r="AV91" s="7"/>
      <c r="AW91" s="7"/>
      <c r="AX91" s="5"/>
      <c r="AY91" s="6"/>
      <c r="AZ91" s="7"/>
      <c r="BA91" s="6"/>
      <c r="BB91" s="7"/>
      <c r="BC91" s="7"/>
      <c r="BD91" s="7"/>
      <c r="BE91" s="7"/>
      <c r="BF91" s="7"/>
      <c r="BG91" s="7"/>
      <c r="BH91" s="5"/>
      <c r="BI91" s="6"/>
      <c r="BJ91" s="7"/>
      <c r="BK91" s="7"/>
      <c r="BL91" s="5"/>
      <c r="BM91" s="6"/>
      <c r="BN91" s="7"/>
      <c r="BO91" s="7"/>
      <c r="BP91" s="5"/>
      <c r="BQ91" s="6"/>
      <c r="BR91" s="7"/>
      <c r="BS91" s="7"/>
      <c r="BT91" s="5"/>
      <c r="BU91" s="6"/>
      <c r="BV91" s="7">
        <v>5</v>
      </c>
      <c r="BW91" s="7"/>
      <c r="BX91" s="5"/>
      <c r="BY91" s="6"/>
      <c r="BZ91" s="7"/>
      <c r="CA91" s="7">
        <v>5</v>
      </c>
      <c r="CB91" s="5"/>
      <c r="CC91" s="6"/>
      <c r="CD91" s="7"/>
      <c r="CE91" s="7">
        <v>5</v>
      </c>
      <c r="CF91" s="5"/>
      <c r="CG91" s="6"/>
    </row>
    <row r="92" spans="2:94" s="15" customFormat="1" ht="18.600000000000001" thickTop="1" thickBot="1" x14ac:dyDescent="0.35">
      <c r="B92" s="16"/>
      <c r="C92" s="100" t="s">
        <v>89</v>
      </c>
      <c r="D92" s="33">
        <v>7</v>
      </c>
      <c r="E92" s="34"/>
      <c r="F92" s="7"/>
      <c r="G92" s="5"/>
      <c r="H92" s="5"/>
      <c r="I92" s="83"/>
      <c r="J92" s="83"/>
      <c r="K92" s="83"/>
      <c r="L92" s="6"/>
      <c r="M92" s="7"/>
      <c r="N92" s="5"/>
      <c r="O92" s="7"/>
      <c r="P92" s="5"/>
      <c r="Q92" s="7"/>
      <c r="R92" s="5"/>
      <c r="S92" s="7"/>
      <c r="T92" s="5"/>
      <c r="U92" s="7"/>
      <c r="V92" s="5"/>
      <c r="W92" s="7"/>
      <c r="X92" s="5"/>
      <c r="Y92" s="5"/>
      <c r="Z92" s="83"/>
      <c r="AA92" s="6"/>
      <c r="AB92" s="7"/>
      <c r="AC92" s="5"/>
      <c r="AD92" s="7"/>
      <c r="AE92" s="5"/>
      <c r="AF92" s="7"/>
      <c r="AG92" s="5"/>
      <c r="AH92" s="7"/>
      <c r="AI92" s="5"/>
      <c r="AJ92" s="7"/>
      <c r="AK92" s="5"/>
      <c r="AL92" s="7"/>
      <c r="AM92" s="5"/>
      <c r="AN92" s="7"/>
      <c r="AO92" s="5"/>
      <c r="AP92" s="5"/>
      <c r="AQ92" s="6"/>
      <c r="AR92" s="7"/>
      <c r="AS92" s="6"/>
      <c r="AT92" s="7"/>
      <c r="AU92" s="6"/>
      <c r="AV92" s="7"/>
      <c r="AW92" s="5"/>
      <c r="AX92" s="5"/>
      <c r="AY92" s="6"/>
      <c r="AZ92" s="7"/>
      <c r="BA92" s="6"/>
      <c r="BB92" s="7"/>
      <c r="BC92" s="5"/>
      <c r="BD92" s="7"/>
      <c r="BE92" s="5"/>
      <c r="BF92" s="7"/>
      <c r="BG92" s="5"/>
      <c r="BH92" s="5"/>
      <c r="BI92" s="6"/>
      <c r="BJ92" s="7"/>
      <c r="BK92" s="5"/>
      <c r="BL92" s="5"/>
      <c r="BM92" s="6"/>
      <c r="BN92" s="7"/>
      <c r="BO92" s="5"/>
      <c r="BP92" s="5"/>
      <c r="BQ92" s="6"/>
      <c r="BR92" s="7"/>
      <c r="BS92" s="5"/>
      <c r="BT92" s="5"/>
      <c r="BU92" s="6"/>
      <c r="BV92" s="7"/>
      <c r="BW92" s="5"/>
      <c r="BX92" s="5"/>
      <c r="BY92" s="6"/>
      <c r="BZ92" s="7"/>
      <c r="CA92" s="5"/>
      <c r="CB92" s="5">
        <v>3.5</v>
      </c>
      <c r="CC92" s="6"/>
      <c r="CD92" s="7"/>
      <c r="CE92" s="5"/>
      <c r="CF92" s="5">
        <v>3.5</v>
      </c>
      <c r="CG92" s="6"/>
      <c r="CK92" s="87" t="s">
        <v>53</v>
      </c>
      <c r="CL92" s="88"/>
      <c r="CM92" s="89"/>
      <c r="CN92" s="43">
        <f>SUM(D9:D24,D41:D52,D60:D75,D77:D84)</f>
        <v>212</v>
      </c>
      <c r="CO92" s="44"/>
      <c r="CP92" s="45" t="s">
        <v>54</v>
      </c>
    </row>
    <row r="93" spans="2:94" s="15" customFormat="1" ht="18.600000000000001" thickTop="1" thickBot="1" x14ac:dyDescent="0.35">
      <c r="B93" s="16"/>
      <c r="C93" s="100"/>
      <c r="D93" s="35"/>
      <c r="E93" s="36">
        <f>SUM(F93:CG93)</f>
        <v>7</v>
      </c>
      <c r="F93" s="7"/>
      <c r="G93" s="5"/>
      <c r="H93" s="5"/>
      <c r="I93" s="83"/>
      <c r="J93" s="83"/>
      <c r="K93" s="83"/>
      <c r="L93" s="6"/>
      <c r="M93" s="7"/>
      <c r="N93" s="5"/>
      <c r="O93" s="7"/>
      <c r="P93" s="5"/>
      <c r="Q93" s="7"/>
      <c r="R93" s="5"/>
      <c r="S93" s="7"/>
      <c r="T93" s="5"/>
      <c r="U93" s="7"/>
      <c r="V93" s="5"/>
      <c r="W93" s="7"/>
      <c r="X93" s="5"/>
      <c r="Y93" s="5"/>
      <c r="Z93" s="83"/>
      <c r="AA93" s="6"/>
      <c r="AB93" s="7"/>
      <c r="AC93" s="5"/>
      <c r="AD93" s="7"/>
      <c r="AE93" s="5"/>
      <c r="AF93" s="7"/>
      <c r="AG93" s="5"/>
      <c r="AH93" s="7"/>
      <c r="AI93" s="5"/>
      <c r="AJ93" s="7"/>
      <c r="AK93" s="5"/>
      <c r="AL93" s="7"/>
      <c r="AM93" s="5"/>
      <c r="AN93" s="7"/>
      <c r="AO93" s="5"/>
      <c r="AP93" s="5"/>
      <c r="AQ93" s="6"/>
      <c r="AR93" s="7"/>
      <c r="AS93" s="6"/>
      <c r="AT93" s="7"/>
      <c r="AU93" s="6"/>
      <c r="AV93" s="7"/>
      <c r="AW93" s="5"/>
      <c r="AX93" s="5"/>
      <c r="AY93" s="6"/>
      <c r="AZ93" s="7"/>
      <c r="BA93" s="6"/>
      <c r="BB93" s="7"/>
      <c r="BC93" s="5"/>
      <c r="BD93" s="7"/>
      <c r="BE93" s="5"/>
      <c r="BF93" s="7"/>
      <c r="BG93" s="5"/>
      <c r="BH93" s="5"/>
      <c r="BI93" s="6"/>
      <c r="BJ93" s="7"/>
      <c r="BK93" s="5"/>
      <c r="BL93" s="5"/>
      <c r="BM93" s="6"/>
      <c r="BN93" s="7"/>
      <c r="BO93" s="5"/>
      <c r="BP93" s="5"/>
      <c r="BQ93" s="6"/>
      <c r="BR93" s="7"/>
      <c r="BS93" s="5"/>
      <c r="BT93" s="5"/>
      <c r="BU93" s="6"/>
      <c r="BV93" s="7"/>
      <c r="BW93" s="5"/>
      <c r="BX93" s="5"/>
      <c r="BY93" s="6"/>
      <c r="BZ93" s="7"/>
      <c r="CA93" s="5"/>
      <c r="CB93" s="5">
        <v>3.5</v>
      </c>
      <c r="CC93" s="6"/>
      <c r="CD93" s="7"/>
      <c r="CE93" s="5"/>
      <c r="CF93" s="5">
        <v>3.5</v>
      </c>
      <c r="CG93" s="6"/>
      <c r="CK93" s="87" t="s">
        <v>56</v>
      </c>
      <c r="CL93" s="88"/>
      <c r="CM93" s="89"/>
      <c r="CN93" s="46"/>
      <c r="CO93" s="43">
        <f>SUM(E10:E24,E42:E52,E61:E75,E78:E84)</f>
        <v>187</v>
      </c>
      <c r="CP93" s="45" t="s">
        <v>54</v>
      </c>
    </row>
    <row r="94" spans="2:94" s="15" customFormat="1" ht="18" thickBot="1" x14ac:dyDescent="0.35">
      <c r="B94" s="16"/>
      <c r="C94" s="42"/>
      <c r="D94" s="37"/>
      <c r="E94" s="38"/>
      <c r="F94" s="7"/>
      <c r="G94" s="5"/>
      <c r="H94" s="5"/>
      <c r="I94" s="83"/>
      <c r="J94" s="83"/>
      <c r="K94" s="83"/>
      <c r="L94" s="6"/>
      <c r="M94" s="7"/>
      <c r="N94" s="5"/>
      <c r="O94" s="7"/>
      <c r="P94" s="5"/>
      <c r="Q94" s="7"/>
      <c r="R94" s="5"/>
      <c r="S94" s="7"/>
      <c r="T94" s="5"/>
      <c r="U94" s="7"/>
      <c r="V94" s="5"/>
      <c r="W94" s="7"/>
      <c r="X94" s="5"/>
      <c r="Y94" s="5"/>
      <c r="Z94" s="83"/>
      <c r="AA94" s="6"/>
      <c r="AB94" s="7"/>
      <c r="AC94" s="5"/>
      <c r="AD94" s="7"/>
      <c r="AE94" s="5"/>
      <c r="AF94" s="7"/>
      <c r="AG94" s="5"/>
      <c r="AH94" s="7"/>
      <c r="AI94" s="5"/>
      <c r="AJ94" s="7"/>
      <c r="AK94" s="5"/>
      <c r="AL94" s="7"/>
      <c r="AM94" s="5"/>
      <c r="AN94" s="7"/>
      <c r="AO94" s="5"/>
      <c r="AP94" s="5"/>
      <c r="AQ94" s="6"/>
      <c r="AR94" s="7"/>
      <c r="AS94" s="6"/>
      <c r="AT94" s="7"/>
      <c r="AU94" s="6"/>
      <c r="AV94" s="7"/>
      <c r="AW94" s="5"/>
      <c r="AX94" s="5"/>
      <c r="AY94" s="6"/>
      <c r="AZ94" s="7"/>
      <c r="BA94" s="6"/>
      <c r="BB94" s="7"/>
      <c r="BC94" s="5"/>
      <c r="BD94" s="7"/>
      <c r="BE94" s="5"/>
      <c r="BF94" s="7"/>
      <c r="BG94" s="5"/>
      <c r="BH94" s="5"/>
      <c r="BI94" s="6"/>
      <c r="BJ94" s="7"/>
      <c r="BK94" s="5"/>
      <c r="BL94" s="5"/>
      <c r="BM94" s="6"/>
      <c r="BN94" s="7"/>
      <c r="BO94" s="5"/>
      <c r="BP94" s="5"/>
      <c r="BQ94" s="6"/>
      <c r="BR94" s="7"/>
      <c r="BS94" s="5"/>
      <c r="BT94" s="5"/>
      <c r="BU94" s="6"/>
      <c r="BV94" s="7"/>
      <c r="BW94" s="5"/>
      <c r="BX94" s="5"/>
      <c r="BY94" s="6"/>
      <c r="BZ94" s="7"/>
      <c r="CA94" s="5"/>
      <c r="CB94" s="5"/>
      <c r="CC94" s="6"/>
      <c r="CD94" s="7"/>
      <c r="CE94" s="5"/>
      <c r="CF94" s="5"/>
      <c r="CG94" s="6"/>
      <c r="CK94" s="47"/>
      <c r="CL94" s="47"/>
      <c r="CM94" s="47"/>
      <c r="CN94" s="46"/>
      <c r="CO94" s="46"/>
      <c r="CP94" s="47"/>
    </row>
    <row r="95" spans="2:94" s="15" customFormat="1" ht="18" hidden="1" thickBot="1" x14ac:dyDescent="0.35">
      <c r="B95" s="31"/>
      <c r="C95" s="39" t="s">
        <v>47</v>
      </c>
      <c r="D95" s="40"/>
      <c r="E95" s="41"/>
      <c r="F95" s="7"/>
      <c r="G95" s="5"/>
      <c r="H95" s="5"/>
      <c r="I95" s="83"/>
      <c r="J95" s="83"/>
      <c r="K95" s="83"/>
      <c r="L95" s="6"/>
      <c r="M95" s="7"/>
      <c r="N95" s="5"/>
      <c r="O95" s="7"/>
      <c r="P95" s="5"/>
      <c r="Q95" s="7"/>
      <c r="R95" s="5"/>
      <c r="S95" s="7"/>
      <c r="T95" s="5"/>
      <c r="U95" s="7"/>
      <c r="V95" s="5"/>
      <c r="W95" s="7"/>
      <c r="X95" s="5"/>
      <c r="Y95" s="5"/>
      <c r="Z95" s="83"/>
      <c r="AA95" s="6"/>
      <c r="AB95" s="7"/>
      <c r="AC95" s="5"/>
      <c r="AD95" s="7"/>
      <c r="AE95" s="5"/>
      <c r="AF95" s="7"/>
      <c r="AG95" s="5"/>
      <c r="AH95" s="7"/>
      <c r="AI95" s="5"/>
      <c r="AJ95" s="7"/>
      <c r="AK95" s="5"/>
      <c r="AL95" s="7"/>
      <c r="AM95" s="5"/>
      <c r="AN95" s="7"/>
      <c r="AO95" s="5"/>
      <c r="AP95" s="5"/>
      <c r="AQ95" s="6"/>
      <c r="AR95" s="7"/>
      <c r="AS95" s="6"/>
      <c r="AT95" s="7"/>
      <c r="AU95" s="6"/>
      <c r="AV95" s="7"/>
      <c r="AW95" s="5"/>
      <c r="AX95" s="5"/>
      <c r="AY95" s="6"/>
      <c r="AZ95" s="7"/>
      <c r="BA95" s="6"/>
      <c r="BB95" s="7"/>
      <c r="BC95" s="5"/>
      <c r="BD95" s="7"/>
      <c r="BE95" s="5"/>
      <c r="BF95" s="7"/>
      <c r="BG95" s="5"/>
      <c r="BH95" s="5"/>
      <c r="BI95" s="6"/>
      <c r="BJ95" s="7"/>
      <c r="BK95" s="5"/>
      <c r="BL95" s="5"/>
      <c r="BM95" s="6"/>
      <c r="BN95" s="7"/>
      <c r="BO95" s="5"/>
      <c r="BP95" s="5"/>
      <c r="BQ95" s="6"/>
      <c r="BR95" s="7"/>
      <c r="BS95" s="5"/>
      <c r="BT95" s="5"/>
      <c r="BU95" s="6"/>
      <c r="BV95" s="7"/>
      <c r="BW95" s="5"/>
      <c r="BX95" s="5"/>
      <c r="BY95" s="6"/>
      <c r="BZ95" s="7"/>
      <c r="CA95" s="5"/>
      <c r="CB95" s="5"/>
      <c r="CC95" s="6"/>
      <c r="CD95" s="7"/>
      <c r="CE95" s="5"/>
      <c r="CF95" s="5"/>
      <c r="CG95" s="6"/>
    </row>
    <row r="96" spans="2:94" s="15" customFormat="1" ht="16.2" hidden="1" thickBot="1" x14ac:dyDescent="0.35">
      <c r="B96" s="16"/>
      <c r="C96" s="100" t="s">
        <v>48</v>
      </c>
      <c r="D96" s="33">
        <f>SUM(F96:CG96)</f>
        <v>0</v>
      </c>
      <c r="E96" s="34"/>
      <c r="F96" s="7"/>
      <c r="G96" s="5"/>
      <c r="H96" s="5"/>
      <c r="I96" s="83"/>
      <c r="J96" s="83"/>
      <c r="K96" s="83"/>
      <c r="L96" s="6"/>
      <c r="M96" s="7"/>
      <c r="N96" s="5"/>
      <c r="O96" s="7"/>
      <c r="P96" s="5"/>
      <c r="Q96" s="7"/>
      <c r="R96" s="5"/>
      <c r="S96" s="7"/>
      <c r="T96" s="5"/>
      <c r="U96" s="7"/>
      <c r="V96" s="5"/>
      <c r="W96" s="7"/>
      <c r="X96" s="5"/>
      <c r="Y96" s="5"/>
      <c r="Z96" s="83"/>
      <c r="AA96" s="6"/>
      <c r="AB96" s="7"/>
      <c r="AC96" s="5"/>
      <c r="AD96" s="7"/>
      <c r="AE96" s="5"/>
      <c r="AF96" s="7"/>
      <c r="AG96" s="5"/>
      <c r="AH96" s="7"/>
      <c r="AI96" s="5"/>
      <c r="AJ96" s="7"/>
      <c r="AK96" s="5"/>
      <c r="AL96" s="7"/>
      <c r="AM96" s="5"/>
      <c r="AN96" s="7"/>
      <c r="AO96" s="5"/>
      <c r="AP96" s="5"/>
      <c r="AQ96" s="6"/>
      <c r="AR96" s="7"/>
      <c r="AS96" s="6"/>
      <c r="AT96" s="7"/>
      <c r="AU96" s="6"/>
      <c r="AV96" s="7"/>
      <c r="AW96" s="5"/>
      <c r="AX96" s="5"/>
      <c r="AY96" s="6"/>
      <c r="AZ96" s="7"/>
      <c r="BA96" s="6"/>
      <c r="BB96" s="7"/>
      <c r="BC96" s="5"/>
      <c r="BD96" s="7"/>
      <c r="BE96" s="5"/>
      <c r="BF96" s="7"/>
      <c r="BG96" s="5"/>
      <c r="BH96" s="5"/>
      <c r="BI96" s="6"/>
      <c r="BJ96" s="7"/>
      <c r="BK96" s="5"/>
      <c r="BL96" s="5"/>
      <c r="BM96" s="6"/>
      <c r="BN96" s="7"/>
      <c r="BO96" s="5"/>
      <c r="BP96" s="5"/>
      <c r="BQ96" s="6"/>
      <c r="BR96" s="7"/>
      <c r="BS96" s="5"/>
      <c r="BT96" s="5"/>
      <c r="BU96" s="6"/>
      <c r="BV96" s="7"/>
      <c r="BW96" s="5"/>
      <c r="BX96" s="5"/>
      <c r="BY96" s="6"/>
      <c r="BZ96" s="7"/>
      <c r="CA96" s="5"/>
      <c r="CB96" s="5"/>
      <c r="CC96" s="6"/>
      <c r="CD96" s="7"/>
      <c r="CE96" s="5"/>
      <c r="CF96" s="5"/>
      <c r="CG96" s="6"/>
    </row>
    <row r="97" spans="2:106" s="15" customFormat="1" ht="16.2" hidden="1" thickBot="1" x14ac:dyDescent="0.35">
      <c r="B97" s="16"/>
      <c r="C97" s="100"/>
      <c r="D97" s="35"/>
      <c r="E97" s="36">
        <f>SUM(F97:CG97)</f>
        <v>0</v>
      </c>
      <c r="F97" s="7"/>
      <c r="G97" s="5"/>
      <c r="H97" s="5"/>
      <c r="I97" s="83"/>
      <c r="J97" s="83"/>
      <c r="K97" s="83"/>
      <c r="L97" s="6"/>
      <c r="M97" s="7"/>
      <c r="N97" s="5"/>
      <c r="O97" s="7"/>
      <c r="P97" s="5"/>
      <c r="Q97" s="7"/>
      <c r="R97" s="5"/>
      <c r="S97" s="7"/>
      <c r="T97" s="5"/>
      <c r="U97" s="7"/>
      <c r="V97" s="5"/>
      <c r="W97" s="7"/>
      <c r="X97" s="5"/>
      <c r="Y97" s="5"/>
      <c r="Z97" s="83"/>
      <c r="AA97" s="6"/>
      <c r="AB97" s="7"/>
      <c r="AC97" s="5"/>
      <c r="AD97" s="7"/>
      <c r="AE97" s="5"/>
      <c r="AF97" s="7"/>
      <c r="AG97" s="5"/>
      <c r="AH97" s="7"/>
      <c r="AI97" s="5"/>
      <c r="AJ97" s="7"/>
      <c r="AK97" s="5"/>
      <c r="AL97" s="7"/>
      <c r="AM97" s="5"/>
      <c r="AN97" s="7"/>
      <c r="AO97" s="5"/>
      <c r="AP97" s="5"/>
      <c r="AQ97" s="6"/>
      <c r="AR97" s="7"/>
      <c r="AS97" s="6"/>
      <c r="AT97" s="7"/>
      <c r="AU97" s="6"/>
      <c r="AV97" s="7"/>
      <c r="AW97" s="5"/>
      <c r="AX97" s="5"/>
      <c r="AY97" s="6"/>
      <c r="AZ97" s="7"/>
      <c r="BA97" s="6"/>
      <c r="BB97" s="7"/>
      <c r="BC97" s="5"/>
      <c r="BD97" s="7"/>
      <c r="BE97" s="5"/>
      <c r="BF97" s="7"/>
      <c r="BG97" s="5"/>
      <c r="BH97" s="5"/>
      <c r="BI97" s="6"/>
      <c r="BJ97" s="7"/>
      <c r="BK97" s="5"/>
      <c r="BL97" s="5"/>
      <c r="BM97" s="6"/>
      <c r="BN97" s="7"/>
      <c r="BO97" s="5"/>
      <c r="BP97" s="5"/>
      <c r="BQ97" s="6"/>
      <c r="BR97" s="7"/>
      <c r="BS97" s="5"/>
      <c r="BT97" s="5"/>
      <c r="BU97" s="6"/>
      <c r="BV97" s="7"/>
      <c r="BW97" s="5"/>
      <c r="BX97" s="5"/>
      <c r="BY97" s="6"/>
      <c r="BZ97" s="7"/>
      <c r="CA97" s="5"/>
      <c r="CB97" s="5"/>
      <c r="CC97" s="6"/>
      <c r="CD97" s="7"/>
      <c r="CE97" s="5"/>
      <c r="CF97" s="5"/>
      <c r="CG97" s="6"/>
    </row>
    <row r="98" spans="2:106" s="15" customFormat="1" ht="16.2" hidden="1" thickBot="1" x14ac:dyDescent="0.35">
      <c r="B98" s="16"/>
      <c r="C98" s="100" t="s">
        <v>49</v>
      </c>
      <c r="D98" s="33">
        <f>SUM(F98:CG98)</f>
        <v>0</v>
      </c>
      <c r="E98" s="34"/>
      <c r="F98" s="7"/>
      <c r="G98" s="5"/>
      <c r="H98" s="5"/>
      <c r="I98" s="83"/>
      <c r="J98" s="83"/>
      <c r="K98" s="83"/>
      <c r="L98" s="6"/>
      <c r="M98" s="7"/>
      <c r="N98" s="5"/>
      <c r="O98" s="7"/>
      <c r="P98" s="5"/>
      <c r="Q98" s="7"/>
      <c r="R98" s="5"/>
      <c r="S98" s="7"/>
      <c r="T98" s="5"/>
      <c r="U98" s="7"/>
      <c r="V98" s="5"/>
      <c r="W98" s="7"/>
      <c r="X98" s="5"/>
      <c r="Y98" s="5"/>
      <c r="Z98" s="83"/>
      <c r="AA98" s="6"/>
      <c r="AB98" s="7"/>
      <c r="AC98" s="5"/>
      <c r="AD98" s="7"/>
      <c r="AE98" s="5"/>
      <c r="AF98" s="7"/>
      <c r="AG98" s="5"/>
      <c r="AH98" s="7"/>
      <c r="AI98" s="5"/>
      <c r="AJ98" s="7"/>
      <c r="AK98" s="5"/>
      <c r="AL98" s="7"/>
      <c r="AM98" s="5"/>
      <c r="AN98" s="7"/>
      <c r="AO98" s="5"/>
      <c r="AP98" s="5"/>
      <c r="AQ98" s="6"/>
      <c r="AR98" s="7"/>
      <c r="AS98" s="6"/>
      <c r="AT98" s="7"/>
      <c r="AU98" s="6"/>
      <c r="AV98" s="7"/>
      <c r="AW98" s="5"/>
      <c r="AX98" s="5"/>
      <c r="AY98" s="6"/>
      <c r="AZ98" s="7"/>
      <c r="BA98" s="6"/>
      <c r="BB98" s="7"/>
      <c r="BC98" s="5"/>
      <c r="BD98" s="7"/>
      <c r="BE98" s="5"/>
      <c r="BF98" s="7"/>
      <c r="BG98" s="5"/>
      <c r="BH98" s="5"/>
      <c r="BI98" s="6"/>
      <c r="BJ98" s="7"/>
      <c r="BK98" s="5"/>
      <c r="BL98" s="5"/>
      <c r="BM98" s="6"/>
      <c r="BN98" s="7"/>
      <c r="BO98" s="5"/>
      <c r="BP98" s="5"/>
      <c r="BQ98" s="6"/>
      <c r="BR98" s="7"/>
      <c r="BS98" s="5"/>
      <c r="BT98" s="5"/>
      <c r="BU98" s="6"/>
      <c r="BV98" s="7"/>
      <c r="BW98" s="5"/>
      <c r="BX98" s="5"/>
      <c r="BY98" s="6"/>
      <c r="BZ98" s="7"/>
      <c r="CA98" s="5"/>
      <c r="CB98" s="5"/>
      <c r="CC98" s="6"/>
      <c r="CD98" s="7"/>
      <c r="CE98" s="5"/>
      <c r="CF98" s="5"/>
      <c r="CG98" s="6"/>
    </row>
    <row r="99" spans="2:106" s="15" customFormat="1" ht="16.2" hidden="1" thickBot="1" x14ac:dyDescent="0.35">
      <c r="B99" s="16"/>
      <c r="C99" s="100"/>
      <c r="D99" s="35"/>
      <c r="E99" s="36">
        <f>SUM(F99:CG99)</f>
        <v>0</v>
      </c>
      <c r="F99" s="7"/>
      <c r="G99" s="5"/>
      <c r="H99" s="5"/>
      <c r="I99" s="83"/>
      <c r="J99" s="83"/>
      <c r="K99" s="83"/>
      <c r="L99" s="6"/>
      <c r="M99" s="7"/>
      <c r="N99" s="5"/>
      <c r="O99" s="7"/>
      <c r="P99" s="5"/>
      <c r="Q99" s="7"/>
      <c r="R99" s="5"/>
      <c r="S99" s="7"/>
      <c r="T99" s="5"/>
      <c r="U99" s="7"/>
      <c r="V99" s="5"/>
      <c r="W99" s="7"/>
      <c r="X99" s="5"/>
      <c r="Y99" s="5"/>
      <c r="Z99" s="83"/>
      <c r="AA99" s="6"/>
      <c r="AB99" s="7"/>
      <c r="AC99" s="5"/>
      <c r="AD99" s="7"/>
      <c r="AE99" s="5"/>
      <c r="AF99" s="7"/>
      <c r="AG99" s="5"/>
      <c r="AH99" s="7"/>
      <c r="AI99" s="5"/>
      <c r="AJ99" s="7"/>
      <c r="AK99" s="5"/>
      <c r="AL99" s="7"/>
      <c r="AM99" s="5"/>
      <c r="AN99" s="7"/>
      <c r="AO99" s="5"/>
      <c r="AP99" s="5"/>
      <c r="AQ99" s="6"/>
      <c r="AR99" s="7"/>
      <c r="AS99" s="6"/>
      <c r="AT99" s="7"/>
      <c r="AU99" s="6"/>
      <c r="AV99" s="7"/>
      <c r="AW99" s="5"/>
      <c r="AX99" s="5"/>
      <c r="AY99" s="6"/>
      <c r="AZ99" s="7"/>
      <c r="BA99" s="6"/>
      <c r="BB99" s="7"/>
      <c r="BC99" s="5"/>
      <c r="BD99" s="7"/>
      <c r="BE99" s="5"/>
      <c r="BF99" s="7"/>
      <c r="BG99" s="5"/>
      <c r="BH99" s="5"/>
      <c r="BI99" s="6"/>
      <c r="BJ99" s="7"/>
      <c r="BK99" s="5"/>
      <c r="BL99" s="5"/>
      <c r="BM99" s="6"/>
      <c r="BN99" s="7"/>
      <c r="BO99" s="5"/>
      <c r="BP99" s="5"/>
      <c r="BQ99" s="6"/>
      <c r="BR99" s="7"/>
      <c r="BS99" s="5"/>
      <c r="BT99" s="5"/>
      <c r="BU99" s="6"/>
      <c r="BV99" s="7"/>
      <c r="BW99" s="5"/>
      <c r="BX99" s="5"/>
      <c r="BY99" s="6"/>
      <c r="BZ99" s="7"/>
      <c r="CA99" s="5"/>
      <c r="CB99" s="5"/>
      <c r="CC99" s="6"/>
      <c r="CD99" s="7"/>
      <c r="CE99" s="5"/>
      <c r="CF99" s="5"/>
      <c r="CG99" s="6"/>
    </row>
    <row r="100" spans="2:106" s="15" customFormat="1" ht="18" hidden="1" thickBot="1" x14ac:dyDescent="0.35">
      <c r="B100" s="31"/>
      <c r="C100" s="39" t="s">
        <v>50</v>
      </c>
      <c r="D100" s="40"/>
      <c r="E100" s="41"/>
      <c r="F100" s="7"/>
      <c r="G100" s="5"/>
      <c r="H100" s="5"/>
      <c r="I100" s="83"/>
      <c r="J100" s="83"/>
      <c r="K100" s="83"/>
      <c r="L100" s="6"/>
      <c r="M100" s="7"/>
      <c r="N100" s="5"/>
      <c r="O100" s="7"/>
      <c r="P100" s="5"/>
      <c r="Q100" s="7"/>
      <c r="R100" s="5"/>
      <c r="S100" s="7"/>
      <c r="T100" s="5"/>
      <c r="U100" s="7"/>
      <c r="V100" s="5"/>
      <c r="W100" s="7"/>
      <c r="X100" s="5"/>
      <c r="Y100" s="5"/>
      <c r="Z100" s="83"/>
      <c r="AA100" s="6"/>
      <c r="AB100" s="7"/>
      <c r="AC100" s="5"/>
      <c r="AD100" s="7"/>
      <c r="AE100" s="5"/>
      <c r="AF100" s="7"/>
      <c r="AG100" s="5"/>
      <c r="AH100" s="7"/>
      <c r="AI100" s="5"/>
      <c r="AJ100" s="7"/>
      <c r="AK100" s="5"/>
      <c r="AL100" s="7"/>
      <c r="AM100" s="5"/>
      <c r="AN100" s="7"/>
      <c r="AO100" s="5"/>
      <c r="AP100" s="5"/>
      <c r="AQ100" s="6"/>
      <c r="AR100" s="7"/>
      <c r="AS100" s="6"/>
      <c r="AT100" s="7"/>
      <c r="AU100" s="6"/>
      <c r="AV100" s="7"/>
      <c r="AW100" s="5"/>
      <c r="AX100" s="5"/>
      <c r="AY100" s="6"/>
      <c r="AZ100" s="7"/>
      <c r="BA100" s="6"/>
      <c r="BB100" s="7"/>
      <c r="BC100" s="5"/>
      <c r="BD100" s="7"/>
      <c r="BE100" s="5"/>
      <c r="BF100" s="7"/>
      <c r="BG100" s="5"/>
      <c r="BH100" s="5"/>
      <c r="BI100" s="6"/>
      <c r="BJ100" s="7"/>
      <c r="BK100" s="5"/>
      <c r="BL100" s="5"/>
      <c r="BM100" s="6"/>
      <c r="BN100" s="7"/>
      <c r="BO100" s="5"/>
      <c r="BP100" s="5"/>
      <c r="BQ100" s="6"/>
      <c r="BR100" s="7"/>
      <c r="BS100" s="5"/>
      <c r="BT100" s="5"/>
      <c r="BU100" s="6"/>
      <c r="BV100" s="7"/>
      <c r="BW100" s="5"/>
      <c r="BX100" s="5"/>
      <c r="BY100" s="6"/>
      <c r="BZ100" s="7"/>
      <c r="CA100" s="5"/>
      <c r="CB100" s="5"/>
      <c r="CC100" s="6"/>
      <c r="CD100" s="7"/>
      <c r="CE100" s="5"/>
      <c r="CF100" s="5"/>
      <c r="CG100" s="6"/>
    </row>
    <row r="101" spans="2:106" s="15" customFormat="1" ht="16.2" hidden="1" thickBot="1" x14ac:dyDescent="0.35">
      <c r="B101" s="16"/>
      <c r="C101" s="140" t="s">
        <v>51</v>
      </c>
      <c r="D101" s="33">
        <f>SUM(F101:CG101)</f>
        <v>0</v>
      </c>
      <c r="E101" s="34"/>
      <c r="F101" s="7"/>
      <c r="G101" s="5"/>
      <c r="H101" s="5"/>
      <c r="I101" s="83"/>
      <c r="J101" s="83"/>
      <c r="K101" s="83"/>
      <c r="L101" s="6"/>
      <c r="M101" s="7"/>
      <c r="N101" s="5"/>
      <c r="O101" s="7"/>
      <c r="P101" s="5"/>
      <c r="Q101" s="7"/>
      <c r="R101" s="5"/>
      <c r="S101" s="7"/>
      <c r="T101" s="5"/>
      <c r="U101" s="7"/>
      <c r="V101" s="5"/>
      <c r="W101" s="7"/>
      <c r="X101" s="5"/>
      <c r="Y101" s="5"/>
      <c r="Z101" s="83"/>
      <c r="AA101" s="6"/>
      <c r="AB101" s="7"/>
      <c r="AC101" s="5"/>
      <c r="AD101" s="7"/>
      <c r="AE101" s="5"/>
      <c r="AF101" s="7"/>
      <c r="AG101" s="5"/>
      <c r="AH101" s="7"/>
      <c r="AI101" s="5"/>
      <c r="AJ101" s="7"/>
      <c r="AK101" s="5"/>
      <c r="AL101" s="7"/>
      <c r="AM101" s="5"/>
      <c r="AN101" s="7"/>
      <c r="AO101" s="5"/>
      <c r="AP101" s="5"/>
      <c r="AQ101" s="6"/>
      <c r="AR101" s="7"/>
      <c r="AS101" s="6"/>
      <c r="AT101" s="7"/>
      <c r="AU101" s="6"/>
      <c r="AV101" s="7"/>
      <c r="AW101" s="5"/>
      <c r="AX101" s="5"/>
      <c r="AY101" s="6"/>
      <c r="AZ101" s="7"/>
      <c r="BA101" s="6"/>
      <c r="BB101" s="7"/>
      <c r="BC101" s="5"/>
      <c r="BD101" s="7"/>
      <c r="BE101" s="5"/>
      <c r="BF101" s="7"/>
      <c r="BG101" s="5"/>
      <c r="BH101" s="5"/>
      <c r="BI101" s="6"/>
      <c r="BJ101" s="7"/>
      <c r="BK101" s="5"/>
      <c r="BL101" s="5"/>
      <c r="BM101" s="6"/>
      <c r="BN101" s="7"/>
      <c r="BO101" s="5"/>
      <c r="BP101" s="5"/>
      <c r="BQ101" s="6"/>
      <c r="BR101" s="7"/>
      <c r="BS101" s="5"/>
      <c r="BT101" s="5"/>
      <c r="BU101" s="6"/>
      <c r="BV101" s="7"/>
      <c r="BW101" s="5"/>
      <c r="BX101" s="5"/>
      <c r="BY101" s="6"/>
      <c r="BZ101" s="7"/>
      <c r="CA101" s="5"/>
      <c r="CB101" s="5"/>
      <c r="CC101" s="6"/>
      <c r="CD101" s="7"/>
      <c r="CE101" s="5"/>
      <c r="CF101" s="5"/>
      <c r="CG101" s="6"/>
    </row>
    <row r="102" spans="2:106" s="15" customFormat="1" ht="16.2" hidden="1" thickBot="1" x14ac:dyDescent="0.35">
      <c r="B102" s="16"/>
      <c r="C102" s="140"/>
      <c r="D102" s="35"/>
      <c r="E102" s="36">
        <f>SUM(F102:CG102)</f>
        <v>0</v>
      </c>
      <c r="F102" s="7"/>
      <c r="G102" s="5"/>
      <c r="H102" s="5"/>
      <c r="I102" s="83"/>
      <c r="J102" s="83"/>
      <c r="K102" s="83"/>
      <c r="L102" s="6"/>
      <c r="M102" s="7"/>
      <c r="N102" s="5"/>
      <c r="O102" s="7"/>
      <c r="P102" s="5"/>
      <c r="Q102" s="7"/>
      <c r="R102" s="5"/>
      <c r="S102" s="7"/>
      <c r="T102" s="5"/>
      <c r="U102" s="7"/>
      <c r="V102" s="5"/>
      <c r="W102" s="7"/>
      <c r="X102" s="5"/>
      <c r="Y102" s="5"/>
      <c r="Z102" s="83"/>
      <c r="AA102" s="6"/>
      <c r="AB102" s="7"/>
      <c r="AC102" s="5"/>
      <c r="AD102" s="7"/>
      <c r="AE102" s="5"/>
      <c r="AF102" s="7"/>
      <c r="AG102" s="5"/>
      <c r="AH102" s="7"/>
      <c r="AI102" s="5"/>
      <c r="AJ102" s="7"/>
      <c r="AK102" s="5"/>
      <c r="AL102" s="7"/>
      <c r="AM102" s="5"/>
      <c r="AN102" s="7"/>
      <c r="AO102" s="5"/>
      <c r="AP102" s="5"/>
      <c r="AQ102" s="6"/>
      <c r="AR102" s="7"/>
      <c r="AS102" s="6"/>
      <c r="AT102" s="7"/>
      <c r="AU102" s="6"/>
      <c r="AV102" s="7"/>
      <c r="AW102" s="5"/>
      <c r="AX102" s="5"/>
      <c r="AY102" s="6"/>
      <c r="AZ102" s="7"/>
      <c r="BA102" s="6"/>
      <c r="BB102" s="7"/>
      <c r="BC102" s="5"/>
      <c r="BD102" s="7"/>
      <c r="BE102" s="5"/>
      <c r="BF102" s="7"/>
      <c r="BG102" s="5"/>
      <c r="BH102" s="5"/>
      <c r="BI102" s="6"/>
      <c r="BJ102" s="7"/>
      <c r="BK102" s="5"/>
      <c r="BL102" s="5"/>
      <c r="BM102" s="6"/>
      <c r="BN102" s="7"/>
      <c r="BO102" s="5"/>
      <c r="BP102" s="5"/>
      <c r="BQ102" s="6"/>
      <c r="BR102" s="7"/>
      <c r="BS102" s="5"/>
      <c r="BT102" s="5"/>
      <c r="BU102" s="6"/>
      <c r="BV102" s="7"/>
      <c r="BW102" s="5"/>
      <c r="BX102" s="5"/>
      <c r="BY102" s="6"/>
      <c r="BZ102" s="7"/>
      <c r="CA102" s="5"/>
      <c r="CB102" s="5"/>
      <c r="CC102" s="6"/>
      <c r="CD102" s="7"/>
      <c r="CE102" s="5"/>
      <c r="CF102" s="5"/>
      <c r="CG102" s="6"/>
    </row>
    <row r="103" spans="2:106" s="15" customFormat="1" ht="18.600000000000001" hidden="1" thickTop="1" thickBot="1" x14ac:dyDescent="0.35">
      <c r="B103" s="31"/>
      <c r="C103" s="39" t="s">
        <v>52</v>
      </c>
      <c r="D103" s="40"/>
      <c r="E103" s="41"/>
      <c r="F103" s="7"/>
      <c r="G103" s="5"/>
      <c r="H103" s="5"/>
      <c r="I103" s="83"/>
      <c r="J103" s="83"/>
      <c r="K103" s="83"/>
      <c r="L103" s="6"/>
      <c r="M103" s="7"/>
      <c r="N103" s="5"/>
      <c r="O103" s="7"/>
      <c r="P103" s="5"/>
      <c r="Q103" s="7"/>
      <c r="R103" s="5"/>
      <c r="S103" s="7"/>
      <c r="T103" s="5"/>
      <c r="U103" s="7"/>
      <c r="V103" s="5"/>
      <c r="W103" s="7"/>
      <c r="X103" s="5"/>
      <c r="Y103" s="5"/>
      <c r="Z103" s="83"/>
      <c r="AA103" s="6"/>
      <c r="AB103" s="7"/>
      <c r="AC103" s="5"/>
      <c r="AD103" s="7"/>
      <c r="AE103" s="5"/>
      <c r="AF103" s="7"/>
      <c r="AG103" s="5"/>
      <c r="AH103" s="7"/>
      <c r="AI103" s="5"/>
      <c r="AJ103" s="7"/>
      <c r="AK103" s="5"/>
      <c r="AL103" s="7"/>
      <c r="AM103" s="5"/>
      <c r="AN103" s="7"/>
      <c r="AO103" s="5"/>
      <c r="AP103" s="5"/>
      <c r="AQ103" s="6"/>
      <c r="AR103" s="7"/>
      <c r="AS103" s="6"/>
      <c r="AT103" s="7"/>
      <c r="AU103" s="6"/>
      <c r="AV103" s="7"/>
      <c r="AW103" s="5"/>
      <c r="AX103" s="5"/>
      <c r="AY103" s="6"/>
      <c r="AZ103" s="7"/>
      <c r="BA103" s="6"/>
      <c r="BB103" s="7"/>
      <c r="BC103" s="5"/>
      <c r="BD103" s="7"/>
      <c r="BE103" s="5"/>
      <c r="BF103" s="7"/>
      <c r="BG103" s="5"/>
      <c r="BH103" s="5"/>
      <c r="BI103" s="6"/>
      <c r="BJ103" s="7"/>
      <c r="BK103" s="5"/>
      <c r="BL103" s="5"/>
      <c r="BM103" s="6"/>
      <c r="BN103" s="7"/>
      <c r="BO103" s="5"/>
      <c r="BP103" s="5"/>
      <c r="BQ103" s="6"/>
      <c r="BR103" s="7"/>
      <c r="BS103" s="5"/>
      <c r="BT103" s="5"/>
      <c r="BU103" s="6"/>
      <c r="BV103" s="7"/>
      <c r="BW103" s="5"/>
      <c r="BX103" s="5"/>
      <c r="BY103" s="6"/>
      <c r="BZ103" s="7"/>
      <c r="CA103" s="5"/>
      <c r="CB103" s="5"/>
      <c r="CC103" s="6"/>
      <c r="CD103" s="7"/>
      <c r="CE103" s="5"/>
      <c r="CF103" s="5"/>
      <c r="CG103" s="6"/>
      <c r="CK103" s="87" t="s">
        <v>53</v>
      </c>
      <c r="CL103" s="88"/>
      <c r="CM103" s="89"/>
      <c r="CN103" s="43">
        <f>SUM(D9:D104)</f>
        <v>240</v>
      </c>
      <c r="CO103" s="44"/>
      <c r="CP103" s="45" t="s">
        <v>54</v>
      </c>
      <c r="DB103" s="75"/>
    </row>
    <row r="104" spans="2:106" s="15" customFormat="1" ht="18.600000000000001" hidden="1" thickTop="1" thickBot="1" x14ac:dyDescent="0.35">
      <c r="B104" s="16"/>
      <c r="C104" s="140" t="s">
        <v>55</v>
      </c>
      <c r="D104" s="33">
        <f>SUM(F104:CG104)</f>
        <v>0</v>
      </c>
      <c r="E104" s="34"/>
      <c r="F104" s="7"/>
      <c r="G104" s="5"/>
      <c r="H104" s="5"/>
      <c r="I104" s="83"/>
      <c r="J104" s="83"/>
      <c r="K104" s="83"/>
      <c r="L104" s="6"/>
      <c r="M104" s="7"/>
      <c r="N104" s="5"/>
      <c r="O104" s="7"/>
      <c r="P104" s="5"/>
      <c r="Q104" s="7"/>
      <c r="R104" s="5"/>
      <c r="S104" s="7"/>
      <c r="T104" s="5"/>
      <c r="U104" s="7"/>
      <c r="V104" s="5"/>
      <c r="W104" s="7"/>
      <c r="X104" s="5"/>
      <c r="Y104" s="5"/>
      <c r="Z104" s="83"/>
      <c r="AA104" s="6"/>
      <c r="AB104" s="7"/>
      <c r="AC104" s="5"/>
      <c r="AD104" s="7"/>
      <c r="AE104" s="5"/>
      <c r="AF104" s="7"/>
      <c r="AG104" s="5"/>
      <c r="AH104" s="7"/>
      <c r="AI104" s="5"/>
      <c r="AJ104" s="7"/>
      <c r="AK104" s="5"/>
      <c r="AL104" s="7"/>
      <c r="AM104" s="5"/>
      <c r="AN104" s="7"/>
      <c r="AO104" s="5"/>
      <c r="AP104" s="5"/>
      <c r="AQ104" s="5"/>
      <c r="AR104" s="7"/>
      <c r="AS104" s="5"/>
      <c r="AT104" s="7"/>
      <c r="AU104" s="5"/>
      <c r="AV104" s="7"/>
      <c r="AW104" s="5"/>
      <c r="AX104" s="5"/>
      <c r="AY104" s="5"/>
      <c r="AZ104" s="7"/>
      <c r="BA104" s="5"/>
      <c r="BB104" s="7"/>
      <c r="BC104" s="5"/>
      <c r="BD104" s="7"/>
      <c r="BE104" s="5"/>
      <c r="BF104" s="7"/>
      <c r="BG104" s="5"/>
      <c r="BH104" s="5"/>
      <c r="BI104" s="5"/>
      <c r="BJ104" s="7"/>
      <c r="BK104" s="5"/>
      <c r="BL104" s="5"/>
      <c r="BM104" s="5"/>
      <c r="BN104" s="7"/>
      <c r="BO104" s="5"/>
      <c r="BP104" s="5"/>
      <c r="BQ104" s="5"/>
      <c r="BR104" s="7"/>
      <c r="BS104" s="5"/>
      <c r="BT104" s="5"/>
      <c r="BU104" s="5"/>
      <c r="BV104" s="7"/>
      <c r="BW104" s="5"/>
      <c r="BX104" s="5"/>
      <c r="BY104" s="5"/>
      <c r="BZ104" s="7"/>
      <c r="CA104" s="5"/>
      <c r="CB104" s="5"/>
      <c r="CC104" s="5"/>
      <c r="CD104" s="7"/>
      <c r="CE104" s="5"/>
      <c r="CF104" s="5"/>
      <c r="CG104" s="5"/>
      <c r="CK104" s="87" t="s">
        <v>56</v>
      </c>
      <c r="CL104" s="88"/>
      <c r="CM104" s="89"/>
      <c r="CN104" s="46"/>
      <c r="CO104" s="43">
        <f>SUM(E9:E105)</f>
        <v>215</v>
      </c>
      <c r="CP104" s="45" t="s">
        <v>54</v>
      </c>
      <c r="DB104" s="75"/>
    </row>
    <row r="105" spans="2:106" s="15" customFormat="1" ht="18" hidden="1" thickBot="1" x14ac:dyDescent="0.35">
      <c r="B105" s="16"/>
      <c r="C105" s="140"/>
      <c r="D105" s="35"/>
      <c r="E105" s="36">
        <f>SUM(F105:CG105)</f>
        <v>0</v>
      </c>
      <c r="F105" s="12"/>
      <c r="G105" s="13"/>
      <c r="H105" s="13"/>
      <c r="I105" s="86"/>
      <c r="J105" s="86"/>
      <c r="K105" s="86"/>
      <c r="L105" s="14"/>
      <c r="M105" s="12"/>
      <c r="N105" s="13"/>
      <c r="O105" s="12"/>
      <c r="P105" s="13"/>
      <c r="Q105" s="12"/>
      <c r="R105" s="13"/>
      <c r="S105" s="12"/>
      <c r="T105" s="13"/>
      <c r="U105" s="12"/>
      <c r="V105" s="13"/>
      <c r="W105" s="12"/>
      <c r="X105" s="13"/>
      <c r="Y105" s="13"/>
      <c r="Z105" s="86"/>
      <c r="AA105" s="14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3"/>
      <c r="AQ105" s="14"/>
      <c r="AR105" s="12"/>
      <c r="AS105" s="14"/>
      <c r="AT105" s="12"/>
      <c r="AU105" s="14"/>
      <c r="AV105" s="12"/>
      <c r="AW105" s="13"/>
      <c r="AX105" s="13"/>
      <c r="AY105" s="14"/>
      <c r="AZ105" s="12"/>
      <c r="BA105" s="14"/>
      <c r="BB105" s="12"/>
      <c r="BC105" s="13"/>
      <c r="BD105" s="12"/>
      <c r="BE105" s="13"/>
      <c r="BF105" s="12"/>
      <c r="BG105" s="13"/>
      <c r="BH105" s="13"/>
      <c r="BI105" s="14"/>
      <c r="BJ105" s="12"/>
      <c r="BK105" s="13"/>
      <c r="BL105" s="13"/>
      <c r="BM105" s="14"/>
      <c r="BN105" s="12"/>
      <c r="BO105" s="13"/>
      <c r="BP105" s="13"/>
      <c r="BQ105" s="14"/>
      <c r="BR105" s="12"/>
      <c r="BS105" s="13"/>
      <c r="BT105" s="13"/>
      <c r="BU105" s="14"/>
      <c r="BV105" s="12"/>
      <c r="BW105" s="13"/>
      <c r="BX105" s="13"/>
      <c r="BY105" s="14"/>
      <c r="BZ105" s="12"/>
      <c r="CA105" s="13"/>
      <c r="CB105" s="13"/>
      <c r="CC105" s="14"/>
      <c r="CD105" s="12"/>
      <c r="CE105" s="13"/>
      <c r="CF105" s="13"/>
      <c r="CG105" s="14"/>
      <c r="CK105" s="47"/>
      <c r="CL105" s="47"/>
      <c r="CM105" s="47"/>
      <c r="CN105" s="46"/>
      <c r="CO105" s="46"/>
      <c r="CP105" s="47"/>
      <c r="DB105" s="75"/>
    </row>
    <row r="106" spans="2:106" s="24" customFormat="1" ht="18.600000000000001" thickTop="1" thickBot="1" x14ac:dyDescent="0.35">
      <c r="B106" s="25"/>
      <c r="C106" s="48" t="s">
        <v>57</v>
      </c>
      <c r="D106" s="33">
        <f>SUM(D9:D105)</f>
        <v>240</v>
      </c>
      <c r="E106" s="49">
        <f>SUM(E9:E105)</f>
        <v>215</v>
      </c>
      <c r="CH106" s="26"/>
      <c r="CI106" s="26"/>
      <c r="CK106" s="87" t="s">
        <v>58</v>
      </c>
      <c r="CL106" s="88"/>
      <c r="CM106" s="89"/>
      <c r="CN106" s="141">
        <f>IF((CN103-CO104)&gt;0,(CN103-CO104),(CN103-CO104)*(1))</f>
        <v>25</v>
      </c>
      <c r="CO106" s="142"/>
      <c r="CP106" s="45" t="s">
        <v>54</v>
      </c>
      <c r="DB106" s="74"/>
    </row>
    <row r="107" spans="2:106" s="24" customFormat="1" ht="18" thickTop="1" x14ac:dyDescent="0.3">
      <c r="B107" s="25"/>
      <c r="D107" s="68"/>
      <c r="E107" s="69"/>
      <c r="F107" s="123" t="s">
        <v>15</v>
      </c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5"/>
      <c r="W107" s="102" t="s">
        <v>25</v>
      </c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7" t="s">
        <v>34</v>
      </c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107"/>
      <c r="BA107" s="107"/>
      <c r="BB107" s="107"/>
      <c r="BC107" s="107"/>
      <c r="BD107" s="107"/>
      <c r="BE107" s="107"/>
      <c r="BF107" s="108" t="s">
        <v>42</v>
      </c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  <c r="BW107" s="108"/>
      <c r="BX107" s="108"/>
      <c r="BY107" s="108"/>
      <c r="BZ107" s="108"/>
      <c r="CA107" s="108"/>
      <c r="CB107" s="108"/>
      <c r="CC107" s="108"/>
      <c r="CD107" s="108"/>
      <c r="CE107" s="108"/>
      <c r="CF107" s="108"/>
      <c r="CG107" s="108"/>
      <c r="CH107" s="51"/>
      <c r="CI107" s="51"/>
      <c r="CJ107" s="50"/>
      <c r="CK107" s="52"/>
      <c r="CL107" s="52"/>
      <c r="CM107" s="52"/>
      <c r="CN107" s="53"/>
      <c r="CO107" s="53"/>
      <c r="CP107" s="47"/>
      <c r="DB107" s="74"/>
    </row>
    <row r="108" spans="2:106" s="15" customFormat="1" ht="17.399999999999999" x14ac:dyDescent="0.3">
      <c r="B108" s="16"/>
      <c r="C108" s="67" t="s">
        <v>59</v>
      </c>
      <c r="D108" s="54"/>
      <c r="E108" s="70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0"/>
      <c r="AE108" s="50"/>
      <c r="AF108" s="50"/>
      <c r="AG108" s="50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  <c r="BV108" s="56"/>
      <c r="BW108" s="56"/>
      <c r="BX108" s="56"/>
      <c r="BY108" s="56"/>
      <c r="BZ108" s="56"/>
      <c r="CA108" s="56"/>
      <c r="CB108" s="56"/>
      <c r="CC108" s="56"/>
      <c r="CD108" s="56"/>
      <c r="CE108" s="56"/>
      <c r="CF108" s="55"/>
      <c r="CG108" s="55"/>
      <c r="CH108" s="55"/>
      <c r="CI108" s="57"/>
      <c r="CJ108" s="55"/>
      <c r="CK108" s="55"/>
      <c r="CL108" s="55"/>
      <c r="CM108" s="55"/>
      <c r="CN108" s="32"/>
      <c r="CO108" s="32"/>
    </row>
    <row r="109" spans="2:106" s="15" customFormat="1" ht="17.399999999999999" x14ac:dyDescent="0.3">
      <c r="B109" s="16"/>
      <c r="C109" s="58"/>
      <c r="D109" s="54"/>
      <c r="E109" s="70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5"/>
      <c r="CG109" s="60"/>
      <c r="CH109" s="57"/>
      <c r="CI109" s="55"/>
      <c r="CJ109" s="55"/>
      <c r="CL109" s="130"/>
      <c r="CM109" s="130"/>
      <c r="CN109" s="130"/>
      <c r="CO109" s="32"/>
    </row>
    <row r="110" spans="2:106" s="15" customFormat="1" ht="17.399999999999999" x14ac:dyDescent="0.25">
      <c r="B110" s="16"/>
      <c r="C110" s="56" t="s">
        <v>60</v>
      </c>
      <c r="D110" s="61"/>
      <c r="E110" s="71"/>
      <c r="CH110" s="32"/>
      <c r="CI110" s="32"/>
    </row>
    <row r="111" spans="2:106" ht="15.6" hidden="1" x14ac:dyDescent="0.3">
      <c r="E111" s="72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</row>
    <row r="112" spans="2:106" hidden="1" x14ac:dyDescent="0.25">
      <c r="E112" s="72"/>
    </row>
    <row r="113" spans="5:5" hidden="1" x14ac:dyDescent="0.25">
      <c r="E113" s="72"/>
    </row>
    <row r="114" spans="5:5" hidden="1" x14ac:dyDescent="0.25">
      <c r="E114" s="72"/>
    </row>
    <row r="115" spans="5:5" hidden="1" x14ac:dyDescent="0.25">
      <c r="E115" s="72"/>
    </row>
    <row r="116" spans="5:5" hidden="1" x14ac:dyDescent="0.25">
      <c r="E116" s="72"/>
    </row>
    <row r="117" spans="5:5" hidden="1" x14ac:dyDescent="0.25">
      <c r="E117" s="72"/>
    </row>
    <row r="118" spans="5:5" hidden="1" x14ac:dyDescent="0.25">
      <c r="E118" s="72"/>
    </row>
    <row r="119" spans="5:5" hidden="1" x14ac:dyDescent="0.25">
      <c r="E119" s="72"/>
    </row>
    <row r="120" spans="5:5" hidden="1" x14ac:dyDescent="0.25">
      <c r="E120" s="72"/>
    </row>
    <row r="121" spans="5:5" hidden="1" x14ac:dyDescent="0.25">
      <c r="E121" s="72"/>
    </row>
    <row r="122" spans="5:5" hidden="1" x14ac:dyDescent="0.25">
      <c r="E122" s="72"/>
    </row>
    <row r="123" spans="5:5" hidden="1" x14ac:dyDescent="0.25">
      <c r="E123" s="72"/>
    </row>
    <row r="124" spans="5:5" hidden="1" x14ac:dyDescent="0.25">
      <c r="E124" s="72"/>
    </row>
    <row r="125" spans="5:5" hidden="1" x14ac:dyDescent="0.25">
      <c r="E125" s="72"/>
    </row>
    <row r="126" spans="5:5" hidden="1" x14ac:dyDescent="0.25">
      <c r="E126" s="72"/>
    </row>
    <row r="127" spans="5:5" hidden="1" x14ac:dyDescent="0.25">
      <c r="E127" s="72"/>
    </row>
    <row r="128" spans="5:5" hidden="1" x14ac:dyDescent="0.25">
      <c r="E128" s="72"/>
    </row>
    <row r="129" spans="5:5" hidden="1" x14ac:dyDescent="0.25">
      <c r="E129" s="72"/>
    </row>
    <row r="130" spans="5:5" hidden="1" x14ac:dyDescent="0.25">
      <c r="E130" s="72"/>
    </row>
    <row r="131" spans="5:5" hidden="1" x14ac:dyDescent="0.25">
      <c r="E131" s="72"/>
    </row>
    <row r="132" spans="5:5" hidden="1" x14ac:dyDescent="0.25">
      <c r="E132" s="72"/>
    </row>
    <row r="133" spans="5:5" hidden="1" x14ac:dyDescent="0.25">
      <c r="E133" s="72"/>
    </row>
    <row r="134" spans="5:5" hidden="1" x14ac:dyDescent="0.25">
      <c r="E134" s="72"/>
    </row>
    <row r="135" spans="5:5" hidden="1" x14ac:dyDescent="0.25">
      <c r="E135" s="72"/>
    </row>
    <row r="136" spans="5:5" hidden="1" x14ac:dyDescent="0.25">
      <c r="E136" s="72"/>
    </row>
    <row r="137" spans="5:5" hidden="1" x14ac:dyDescent="0.25">
      <c r="E137" s="72"/>
    </row>
    <row r="138" spans="5:5" hidden="1" x14ac:dyDescent="0.25">
      <c r="E138" s="72"/>
    </row>
    <row r="139" spans="5:5" hidden="1" x14ac:dyDescent="0.25">
      <c r="E139" s="72"/>
    </row>
    <row r="140" spans="5:5" hidden="1" x14ac:dyDescent="0.25">
      <c r="E140" s="72"/>
    </row>
    <row r="141" spans="5:5" hidden="1" x14ac:dyDescent="0.25">
      <c r="E141" s="72"/>
    </row>
    <row r="142" spans="5:5" hidden="1" x14ac:dyDescent="0.25">
      <c r="E142" s="72"/>
    </row>
    <row r="143" spans="5:5" hidden="1" x14ac:dyDescent="0.25">
      <c r="E143" s="72"/>
    </row>
    <row r="144" spans="5:5" hidden="1" x14ac:dyDescent="0.25">
      <c r="E144" s="72"/>
    </row>
    <row r="145" spans="5:5" hidden="1" x14ac:dyDescent="0.25">
      <c r="E145" s="72"/>
    </row>
    <row r="146" spans="5:5" hidden="1" x14ac:dyDescent="0.25">
      <c r="E146" s="72"/>
    </row>
    <row r="147" spans="5:5" hidden="1" x14ac:dyDescent="0.25">
      <c r="E147" s="72"/>
    </row>
    <row r="148" spans="5:5" hidden="1" x14ac:dyDescent="0.25">
      <c r="E148" s="72"/>
    </row>
    <row r="149" spans="5:5" hidden="1" x14ac:dyDescent="0.25">
      <c r="E149" s="72"/>
    </row>
    <row r="150" spans="5:5" hidden="1" x14ac:dyDescent="0.25">
      <c r="E150" s="72"/>
    </row>
    <row r="151" spans="5:5" hidden="1" x14ac:dyDescent="0.25">
      <c r="E151" s="72"/>
    </row>
    <row r="152" spans="5:5" hidden="1" x14ac:dyDescent="0.25">
      <c r="E152" s="72"/>
    </row>
    <row r="153" spans="5:5" hidden="1" x14ac:dyDescent="0.25">
      <c r="E153" s="72"/>
    </row>
    <row r="154" spans="5:5" hidden="1" x14ac:dyDescent="0.25">
      <c r="E154" s="72"/>
    </row>
    <row r="155" spans="5:5" hidden="1" x14ac:dyDescent="0.25">
      <c r="E155" s="72"/>
    </row>
    <row r="156" spans="5:5" hidden="1" x14ac:dyDescent="0.25">
      <c r="E156" s="72"/>
    </row>
    <row r="157" spans="5:5" hidden="1" x14ac:dyDescent="0.25">
      <c r="E157" s="72"/>
    </row>
    <row r="158" spans="5:5" hidden="1" x14ac:dyDescent="0.25">
      <c r="E158" s="72"/>
    </row>
    <row r="159" spans="5:5" hidden="1" x14ac:dyDescent="0.25">
      <c r="E159" s="72"/>
    </row>
    <row r="160" spans="5:5" hidden="1" x14ac:dyDescent="0.25">
      <c r="E160" s="72"/>
    </row>
    <row r="161" spans="5:5" hidden="1" x14ac:dyDescent="0.25">
      <c r="E161" s="72"/>
    </row>
    <row r="162" spans="5:5" hidden="1" x14ac:dyDescent="0.25">
      <c r="E162" s="72"/>
    </row>
    <row r="163" spans="5:5" hidden="1" x14ac:dyDescent="0.25">
      <c r="E163" s="72"/>
    </row>
    <row r="164" spans="5:5" hidden="1" x14ac:dyDescent="0.25">
      <c r="E164" s="72"/>
    </row>
    <row r="165" spans="5:5" hidden="1" x14ac:dyDescent="0.25">
      <c r="E165" s="72"/>
    </row>
    <row r="166" spans="5:5" hidden="1" x14ac:dyDescent="0.25">
      <c r="E166" s="72"/>
    </row>
    <row r="167" spans="5:5" hidden="1" x14ac:dyDescent="0.25">
      <c r="E167" s="72"/>
    </row>
    <row r="168" spans="5:5" hidden="1" x14ac:dyDescent="0.25">
      <c r="E168" s="72"/>
    </row>
    <row r="169" spans="5:5" hidden="1" x14ac:dyDescent="0.25">
      <c r="E169" s="72"/>
    </row>
    <row r="170" spans="5:5" hidden="1" x14ac:dyDescent="0.25">
      <c r="E170" s="72"/>
    </row>
    <row r="171" spans="5:5" hidden="1" x14ac:dyDescent="0.25">
      <c r="E171" s="72"/>
    </row>
    <row r="172" spans="5:5" hidden="1" x14ac:dyDescent="0.25">
      <c r="E172" s="72"/>
    </row>
    <row r="173" spans="5:5" hidden="1" x14ac:dyDescent="0.25">
      <c r="E173" s="72"/>
    </row>
    <row r="174" spans="5:5" hidden="1" x14ac:dyDescent="0.25">
      <c r="E174" s="72"/>
    </row>
    <row r="175" spans="5:5" hidden="1" x14ac:dyDescent="0.25">
      <c r="E175" s="72"/>
    </row>
    <row r="176" spans="5:5" hidden="1" x14ac:dyDescent="0.25">
      <c r="E176" s="72"/>
    </row>
    <row r="177" spans="5:5" hidden="1" x14ac:dyDescent="0.25">
      <c r="E177" s="72"/>
    </row>
    <row r="178" spans="5:5" hidden="1" x14ac:dyDescent="0.25">
      <c r="E178" s="72"/>
    </row>
    <row r="179" spans="5:5" hidden="1" x14ac:dyDescent="0.25">
      <c r="E179" s="72"/>
    </row>
    <row r="180" spans="5:5" hidden="1" x14ac:dyDescent="0.25">
      <c r="E180" s="72"/>
    </row>
    <row r="181" spans="5:5" hidden="1" x14ac:dyDescent="0.25">
      <c r="E181" s="72"/>
    </row>
    <row r="182" spans="5:5" hidden="1" x14ac:dyDescent="0.25">
      <c r="E182" s="72"/>
    </row>
    <row r="183" spans="5:5" hidden="1" x14ac:dyDescent="0.25">
      <c r="E183" s="72"/>
    </row>
    <row r="184" spans="5:5" hidden="1" x14ac:dyDescent="0.25">
      <c r="E184" s="72"/>
    </row>
    <row r="185" spans="5:5" hidden="1" x14ac:dyDescent="0.25">
      <c r="E185" s="72"/>
    </row>
    <row r="186" spans="5:5" hidden="1" x14ac:dyDescent="0.25">
      <c r="E186" s="72"/>
    </row>
    <row r="187" spans="5:5" hidden="1" x14ac:dyDescent="0.25">
      <c r="E187" s="72"/>
    </row>
    <row r="188" spans="5:5" hidden="1" x14ac:dyDescent="0.25">
      <c r="E188" s="72"/>
    </row>
    <row r="189" spans="5:5" hidden="1" x14ac:dyDescent="0.25">
      <c r="E189" s="72"/>
    </row>
    <row r="190" spans="5:5" hidden="1" x14ac:dyDescent="0.25">
      <c r="E190" s="72"/>
    </row>
    <row r="191" spans="5:5" hidden="1" x14ac:dyDescent="0.25">
      <c r="E191" s="72"/>
    </row>
    <row r="192" spans="5:5" hidden="1" x14ac:dyDescent="0.25">
      <c r="E192" s="72"/>
    </row>
    <row r="193" spans="5:5" hidden="1" x14ac:dyDescent="0.25">
      <c r="E193" s="72"/>
    </row>
    <row r="194" spans="5:5" hidden="1" x14ac:dyDescent="0.25">
      <c r="E194" s="72"/>
    </row>
    <row r="195" spans="5:5" hidden="1" x14ac:dyDescent="0.25">
      <c r="E195" s="72"/>
    </row>
    <row r="196" spans="5:5" hidden="1" x14ac:dyDescent="0.25">
      <c r="E196" s="72"/>
    </row>
    <row r="197" spans="5:5" hidden="1" x14ac:dyDescent="0.25">
      <c r="E197" s="72"/>
    </row>
    <row r="198" spans="5:5" hidden="1" x14ac:dyDescent="0.25">
      <c r="E198" s="72"/>
    </row>
    <row r="199" spans="5:5" hidden="1" x14ac:dyDescent="0.25">
      <c r="E199" s="72"/>
    </row>
    <row r="200" spans="5:5" hidden="1" x14ac:dyDescent="0.25">
      <c r="E200" s="72"/>
    </row>
    <row r="201" spans="5:5" hidden="1" x14ac:dyDescent="0.25">
      <c r="E201" s="72"/>
    </row>
    <row r="202" spans="5:5" hidden="1" x14ac:dyDescent="0.25">
      <c r="E202" s="72"/>
    </row>
    <row r="203" spans="5:5" hidden="1" x14ac:dyDescent="0.25">
      <c r="E203" s="72"/>
    </row>
    <row r="204" spans="5:5" hidden="1" x14ac:dyDescent="0.25">
      <c r="E204" s="72"/>
    </row>
    <row r="205" spans="5:5" hidden="1" x14ac:dyDescent="0.25">
      <c r="E205" s="72"/>
    </row>
    <row r="206" spans="5:5" hidden="1" x14ac:dyDescent="0.25">
      <c r="E206" s="72"/>
    </row>
    <row r="207" spans="5:5" hidden="1" x14ac:dyDescent="0.25">
      <c r="E207" s="72"/>
    </row>
    <row r="208" spans="5:5" hidden="1" x14ac:dyDescent="0.25">
      <c r="E208" s="72"/>
    </row>
    <row r="209" spans="5:5" hidden="1" x14ac:dyDescent="0.25">
      <c r="E209" s="72"/>
    </row>
    <row r="210" spans="5:5" hidden="1" x14ac:dyDescent="0.25">
      <c r="E210" s="72"/>
    </row>
    <row r="211" spans="5:5" hidden="1" x14ac:dyDescent="0.25">
      <c r="E211" s="72"/>
    </row>
    <row r="212" spans="5:5" hidden="1" x14ac:dyDescent="0.25">
      <c r="E212" s="72"/>
    </row>
    <row r="213" spans="5:5" hidden="1" x14ac:dyDescent="0.25">
      <c r="E213" s="72"/>
    </row>
    <row r="214" spans="5:5" hidden="1" x14ac:dyDescent="0.25">
      <c r="E214" s="72"/>
    </row>
    <row r="215" spans="5:5" hidden="1" x14ac:dyDescent="0.25">
      <c r="E215" s="72"/>
    </row>
    <row r="216" spans="5:5" hidden="1" x14ac:dyDescent="0.25">
      <c r="E216" s="72"/>
    </row>
    <row r="217" spans="5:5" hidden="1" x14ac:dyDescent="0.25">
      <c r="E217" s="72"/>
    </row>
    <row r="218" spans="5:5" hidden="1" x14ac:dyDescent="0.25">
      <c r="E218" s="72"/>
    </row>
    <row r="219" spans="5:5" hidden="1" x14ac:dyDescent="0.25">
      <c r="E219" s="72"/>
    </row>
    <row r="220" spans="5:5" hidden="1" x14ac:dyDescent="0.25">
      <c r="E220" s="72"/>
    </row>
    <row r="221" spans="5:5" hidden="1" x14ac:dyDescent="0.25">
      <c r="E221" s="72"/>
    </row>
    <row r="222" spans="5:5" hidden="1" x14ac:dyDescent="0.25">
      <c r="E222" s="72"/>
    </row>
    <row r="223" spans="5:5" hidden="1" x14ac:dyDescent="0.25">
      <c r="E223" s="72"/>
    </row>
    <row r="224" spans="5:5" hidden="1" x14ac:dyDescent="0.25">
      <c r="E224" s="72"/>
    </row>
    <row r="225" spans="5:5" hidden="1" x14ac:dyDescent="0.25">
      <c r="E225" s="72"/>
    </row>
    <row r="226" spans="5:5" hidden="1" x14ac:dyDescent="0.25">
      <c r="E226" s="72"/>
    </row>
    <row r="227" spans="5:5" hidden="1" x14ac:dyDescent="0.25">
      <c r="E227" s="72"/>
    </row>
    <row r="228" spans="5:5" hidden="1" x14ac:dyDescent="0.25">
      <c r="E228" s="72"/>
    </row>
    <row r="229" spans="5:5" hidden="1" x14ac:dyDescent="0.25">
      <c r="E229" s="72"/>
    </row>
    <row r="230" spans="5:5" hidden="1" x14ac:dyDescent="0.25">
      <c r="E230" s="72"/>
    </row>
    <row r="231" spans="5:5" hidden="1" x14ac:dyDescent="0.25">
      <c r="E231" s="72"/>
    </row>
    <row r="232" spans="5:5" hidden="1" x14ac:dyDescent="0.25">
      <c r="E232" s="72"/>
    </row>
    <row r="233" spans="5:5" hidden="1" x14ac:dyDescent="0.25">
      <c r="E233" s="72"/>
    </row>
    <row r="234" spans="5:5" hidden="1" x14ac:dyDescent="0.25">
      <c r="E234" s="72"/>
    </row>
    <row r="235" spans="5:5" hidden="1" x14ac:dyDescent="0.25">
      <c r="E235" s="72"/>
    </row>
    <row r="236" spans="5:5" hidden="1" x14ac:dyDescent="0.25">
      <c r="E236" s="72"/>
    </row>
    <row r="237" spans="5:5" hidden="1" x14ac:dyDescent="0.25">
      <c r="E237" s="72"/>
    </row>
    <row r="238" spans="5:5" hidden="1" x14ac:dyDescent="0.25">
      <c r="E238" s="72"/>
    </row>
    <row r="239" spans="5:5" hidden="1" x14ac:dyDescent="0.25">
      <c r="E239" s="72"/>
    </row>
    <row r="240" spans="5:5" hidden="1" x14ac:dyDescent="0.25">
      <c r="E240" s="72"/>
    </row>
    <row r="241" spans="5:5" hidden="1" x14ac:dyDescent="0.25">
      <c r="E241" s="72"/>
    </row>
    <row r="242" spans="5:5" hidden="1" x14ac:dyDescent="0.25">
      <c r="E242" s="72"/>
    </row>
    <row r="243" spans="5:5" hidden="1" x14ac:dyDescent="0.25">
      <c r="E243" s="72"/>
    </row>
    <row r="244" spans="5:5" hidden="1" x14ac:dyDescent="0.25">
      <c r="E244" s="72"/>
    </row>
    <row r="245" spans="5:5" hidden="1" x14ac:dyDescent="0.25">
      <c r="E245" s="72"/>
    </row>
    <row r="246" spans="5:5" hidden="1" x14ac:dyDescent="0.25">
      <c r="E246" s="72"/>
    </row>
    <row r="247" spans="5:5" hidden="1" x14ac:dyDescent="0.25">
      <c r="E247" s="72"/>
    </row>
    <row r="248" spans="5:5" hidden="1" x14ac:dyDescent="0.25">
      <c r="E248" s="72"/>
    </row>
    <row r="249" spans="5:5" hidden="1" x14ac:dyDescent="0.25">
      <c r="E249" s="72"/>
    </row>
    <row r="250" spans="5:5" hidden="1" x14ac:dyDescent="0.25">
      <c r="E250" s="72"/>
    </row>
    <row r="251" spans="5:5" hidden="1" x14ac:dyDescent="0.25">
      <c r="E251" s="72"/>
    </row>
    <row r="252" spans="5:5" hidden="1" x14ac:dyDescent="0.25">
      <c r="E252" s="72"/>
    </row>
    <row r="253" spans="5:5" hidden="1" x14ac:dyDescent="0.25">
      <c r="E253" s="72"/>
    </row>
    <row r="254" spans="5:5" hidden="1" x14ac:dyDescent="0.25">
      <c r="E254" s="72"/>
    </row>
    <row r="255" spans="5:5" hidden="1" x14ac:dyDescent="0.25">
      <c r="E255" s="72"/>
    </row>
    <row r="256" spans="5:5" hidden="1" x14ac:dyDescent="0.25">
      <c r="E256" s="72"/>
    </row>
    <row r="257" spans="5:5" hidden="1" x14ac:dyDescent="0.25">
      <c r="E257" s="72"/>
    </row>
    <row r="258" spans="5:5" hidden="1" x14ac:dyDescent="0.25">
      <c r="E258" s="72"/>
    </row>
    <row r="259" spans="5:5" hidden="1" x14ac:dyDescent="0.25">
      <c r="E259" s="72"/>
    </row>
    <row r="260" spans="5:5" hidden="1" x14ac:dyDescent="0.25">
      <c r="E260" s="72"/>
    </row>
    <row r="261" spans="5:5" hidden="1" x14ac:dyDescent="0.25">
      <c r="E261" s="72"/>
    </row>
    <row r="262" spans="5:5" hidden="1" x14ac:dyDescent="0.25">
      <c r="E262" s="72"/>
    </row>
    <row r="263" spans="5:5" hidden="1" x14ac:dyDescent="0.25">
      <c r="E263" s="72"/>
    </row>
    <row r="264" spans="5:5" hidden="1" x14ac:dyDescent="0.25">
      <c r="E264" s="72"/>
    </row>
    <row r="265" spans="5:5" hidden="1" x14ac:dyDescent="0.25">
      <c r="E265" s="72"/>
    </row>
    <row r="266" spans="5:5" hidden="1" x14ac:dyDescent="0.25">
      <c r="E266" s="72"/>
    </row>
    <row r="267" spans="5:5" hidden="1" x14ac:dyDescent="0.25">
      <c r="E267" s="72"/>
    </row>
    <row r="268" spans="5:5" hidden="1" x14ac:dyDescent="0.25">
      <c r="E268" s="72"/>
    </row>
    <row r="269" spans="5:5" hidden="1" x14ac:dyDescent="0.25">
      <c r="E269" s="72"/>
    </row>
    <row r="270" spans="5:5" hidden="1" x14ac:dyDescent="0.25">
      <c r="E270" s="72"/>
    </row>
    <row r="271" spans="5:5" hidden="1" x14ac:dyDescent="0.25">
      <c r="E271" s="72"/>
    </row>
    <row r="272" spans="5:5" hidden="1" x14ac:dyDescent="0.25">
      <c r="E272" s="72"/>
    </row>
    <row r="273" spans="5:5" hidden="1" x14ac:dyDescent="0.25">
      <c r="E273" s="72"/>
    </row>
    <row r="274" spans="5:5" hidden="1" x14ac:dyDescent="0.25">
      <c r="E274" s="72"/>
    </row>
    <row r="275" spans="5:5" hidden="1" x14ac:dyDescent="0.25">
      <c r="E275" s="72"/>
    </row>
    <row r="276" spans="5:5" hidden="1" x14ac:dyDescent="0.25">
      <c r="E276" s="72"/>
    </row>
    <row r="277" spans="5:5" hidden="1" x14ac:dyDescent="0.25">
      <c r="E277" s="72"/>
    </row>
    <row r="278" spans="5:5" hidden="1" x14ac:dyDescent="0.25">
      <c r="E278" s="72"/>
    </row>
    <row r="279" spans="5:5" hidden="1" x14ac:dyDescent="0.25">
      <c r="E279" s="72"/>
    </row>
    <row r="280" spans="5:5" hidden="1" x14ac:dyDescent="0.25">
      <c r="E280" s="72"/>
    </row>
    <row r="281" spans="5:5" hidden="1" x14ac:dyDescent="0.25">
      <c r="E281" s="72"/>
    </row>
    <row r="282" spans="5:5" hidden="1" x14ac:dyDescent="0.25">
      <c r="E282" s="72"/>
    </row>
    <row r="283" spans="5:5" hidden="1" x14ac:dyDescent="0.25">
      <c r="E283" s="72"/>
    </row>
    <row r="284" spans="5:5" hidden="1" x14ac:dyDescent="0.25">
      <c r="E284" s="72"/>
    </row>
    <row r="285" spans="5:5" hidden="1" x14ac:dyDescent="0.25">
      <c r="E285" s="72"/>
    </row>
    <row r="286" spans="5:5" hidden="1" x14ac:dyDescent="0.25">
      <c r="E286" s="72"/>
    </row>
    <row r="287" spans="5:5" hidden="1" x14ac:dyDescent="0.25">
      <c r="E287" s="72"/>
    </row>
    <row r="288" spans="5:5" hidden="1" x14ac:dyDescent="0.25">
      <c r="E288" s="72"/>
    </row>
    <row r="289" spans="5:5" hidden="1" x14ac:dyDescent="0.25">
      <c r="E289" s="72"/>
    </row>
    <row r="290" spans="5:5" hidden="1" x14ac:dyDescent="0.25">
      <c r="E290" s="72"/>
    </row>
    <row r="291" spans="5:5" hidden="1" x14ac:dyDescent="0.25">
      <c r="E291" s="72"/>
    </row>
    <row r="292" spans="5:5" hidden="1" x14ac:dyDescent="0.25">
      <c r="E292" s="72"/>
    </row>
    <row r="293" spans="5:5" hidden="1" x14ac:dyDescent="0.25">
      <c r="E293" s="72"/>
    </row>
    <row r="294" spans="5:5" hidden="1" x14ac:dyDescent="0.25">
      <c r="E294" s="72"/>
    </row>
    <row r="295" spans="5:5" hidden="1" x14ac:dyDescent="0.25">
      <c r="E295" s="72"/>
    </row>
    <row r="296" spans="5:5" hidden="1" x14ac:dyDescent="0.25">
      <c r="E296" s="72"/>
    </row>
    <row r="297" spans="5:5" hidden="1" x14ac:dyDescent="0.25">
      <c r="E297" s="72"/>
    </row>
    <row r="298" spans="5:5" hidden="1" x14ac:dyDescent="0.25">
      <c r="E298" s="72"/>
    </row>
    <row r="299" spans="5:5" hidden="1" x14ac:dyDescent="0.25">
      <c r="E299" s="72"/>
    </row>
    <row r="300" spans="5:5" hidden="1" x14ac:dyDescent="0.25">
      <c r="E300" s="72"/>
    </row>
    <row r="301" spans="5:5" hidden="1" x14ac:dyDescent="0.25">
      <c r="E301" s="72"/>
    </row>
    <row r="302" spans="5:5" hidden="1" x14ac:dyDescent="0.25">
      <c r="E302" s="72"/>
    </row>
    <row r="303" spans="5:5" hidden="1" x14ac:dyDescent="0.25">
      <c r="E303" s="72"/>
    </row>
    <row r="304" spans="5:5" hidden="1" x14ac:dyDescent="0.25">
      <c r="E304" s="72"/>
    </row>
    <row r="305" spans="5:5" hidden="1" x14ac:dyDescent="0.25">
      <c r="E305" s="72"/>
    </row>
    <row r="306" spans="5:5" hidden="1" x14ac:dyDescent="0.25">
      <c r="E306" s="72"/>
    </row>
    <row r="307" spans="5:5" hidden="1" x14ac:dyDescent="0.25">
      <c r="E307" s="72"/>
    </row>
    <row r="308" spans="5:5" hidden="1" x14ac:dyDescent="0.25">
      <c r="E308" s="72"/>
    </row>
    <row r="309" spans="5:5" hidden="1" x14ac:dyDescent="0.25">
      <c r="E309" s="72"/>
    </row>
    <row r="310" spans="5:5" hidden="1" x14ac:dyDescent="0.25">
      <c r="E310" s="72"/>
    </row>
    <row r="311" spans="5:5" hidden="1" x14ac:dyDescent="0.25">
      <c r="E311" s="72"/>
    </row>
    <row r="312" spans="5:5" hidden="1" x14ac:dyDescent="0.25">
      <c r="E312" s="72"/>
    </row>
    <row r="313" spans="5:5" hidden="1" x14ac:dyDescent="0.25">
      <c r="E313" s="72"/>
    </row>
    <row r="314" spans="5:5" hidden="1" x14ac:dyDescent="0.25">
      <c r="E314" s="72"/>
    </row>
    <row r="315" spans="5:5" hidden="1" x14ac:dyDescent="0.25">
      <c r="E315" s="72"/>
    </row>
    <row r="316" spans="5:5" hidden="1" x14ac:dyDescent="0.25">
      <c r="E316" s="72"/>
    </row>
    <row r="317" spans="5:5" hidden="1" x14ac:dyDescent="0.25">
      <c r="E317" s="72"/>
    </row>
    <row r="318" spans="5:5" hidden="1" x14ac:dyDescent="0.25">
      <c r="E318" s="72"/>
    </row>
    <row r="319" spans="5:5" hidden="1" x14ac:dyDescent="0.25">
      <c r="E319" s="72"/>
    </row>
    <row r="320" spans="5:5" hidden="1" x14ac:dyDescent="0.25">
      <c r="E320" s="72"/>
    </row>
    <row r="321" spans="5:5" hidden="1" x14ac:dyDescent="0.25">
      <c r="E321" s="72"/>
    </row>
    <row r="322" spans="5:5" hidden="1" x14ac:dyDescent="0.25">
      <c r="E322" s="72"/>
    </row>
    <row r="323" spans="5:5" hidden="1" x14ac:dyDescent="0.25">
      <c r="E323" s="72"/>
    </row>
    <row r="324" spans="5:5" hidden="1" x14ac:dyDescent="0.25">
      <c r="E324" s="72"/>
    </row>
    <row r="325" spans="5:5" hidden="1" x14ac:dyDescent="0.25">
      <c r="E325" s="72"/>
    </row>
    <row r="326" spans="5:5" hidden="1" x14ac:dyDescent="0.25">
      <c r="E326" s="72"/>
    </row>
    <row r="327" spans="5:5" hidden="1" x14ac:dyDescent="0.25">
      <c r="E327" s="72"/>
    </row>
    <row r="328" spans="5:5" hidden="1" x14ac:dyDescent="0.25">
      <c r="E328" s="72"/>
    </row>
    <row r="329" spans="5:5" hidden="1" x14ac:dyDescent="0.25">
      <c r="E329" s="72"/>
    </row>
    <row r="330" spans="5:5" hidden="1" x14ac:dyDescent="0.25">
      <c r="E330" s="72"/>
    </row>
    <row r="331" spans="5:5" hidden="1" x14ac:dyDescent="0.25">
      <c r="E331" s="72"/>
    </row>
    <row r="332" spans="5:5" hidden="1" x14ac:dyDescent="0.25">
      <c r="E332" s="72"/>
    </row>
    <row r="333" spans="5:5" hidden="1" x14ac:dyDescent="0.25">
      <c r="E333" s="72"/>
    </row>
    <row r="334" spans="5:5" hidden="1" x14ac:dyDescent="0.25">
      <c r="E334" s="72"/>
    </row>
    <row r="335" spans="5:5" hidden="1" x14ac:dyDescent="0.25">
      <c r="E335" s="72"/>
    </row>
    <row r="336" spans="5:5" hidden="1" x14ac:dyDescent="0.25">
      <c r="E336" s="72"/>
    </row>
    <row r="337" spans="5:5" hidden="1" x14ac:dyDescent="0.25">
      <c r="E337" s="72"/>
    </row>
    <row r="338" spans="5:5" hidden="1" x14ac:dyDescent="0.25">
      <c r="E338" s="72"/>
    </row>
    <row r="339" spans="5:5" x14ac:dyDescent="0.25">
      <c r="E339" s="72"/>
    </row>
  </sheetData>
  <mergeCells count="203">
    <mergeCell ref="C15:C16"/>
    <mergeCell ref="CN106:CO106"/>
    <mergeCell ref="O3:P3"/>
    <mergeCell ref="Q3:R3"/>
    <mergeCell ref="S3:T3"/>
    <mergeCell ref="F3:L3"/>
    <mergeCell ref="M3:N3"/>
    <mergeCell ref="C81:C82"/>
    <mergeCell ref="C92:C93"/>
    <mergeCell ref="C88:C89"/>
    <mergeCell ref="C90:C91"/>
    <mergeCell ref="C74:C75"/>
    <mergeCell ref="AH4:AI4"/>
    <mergeCell ref="CD4:CG4"/>
    <mergeCell ref="C36:C37"/>
    <mergeCell ref="AH5:AI5"/>
    <mergeCell ref="CD5:CG5"/>
    <mergeCell ref="W3:AA3"/>
    <mergeCell ref="C98:C99"/>
    <mergeCell ref="M5:N5"/>
    <mergeCell ref="O5:P5"/>
    <mergeCell ref="C9:C10"/>
    <mergeCell ref="C34:C35"/>
    <mergeCell ref="C13:C14"/>
    <mergeCell ref="C57:C58"/>
    <mergeCell ref="U2:V2"/>
    <mergeCell ref="W2:AA2"/>
    <mergeCell ref="AB2:AC2"/>
    <mergeCell ref="AD2:AE2"/>
    <mergeCell ref="AD3:AE3"/>
    <mergeCell ref="U3:V3"/>
    <mergeCell ref="C104:C105"/>
    <mergeCell ref="C47:C48"/>
    <mergeCell ref="C51:C52"/>
    <mergeCell ref="C101:C102"/>
    <mergeCell ref="C55:C56"/>
    <mergeCell ref="C96:C97"/>
    <mergeCell ref="C60:C61"/>
    <mergeCell ref="C62:C63"/>
    <mergeCell ref="C64:C65"/>
    <mergeCell ref="C66:C67"/>
    <mergeCell ref="C68:C69"/>
    <mergeCell ref="C70:C71"/>
    <mergeCell ref="C72:C73"/>
    <mergeCell ref="C77:C78"/>
    <mergeCell ref="C79:C80"/>
    <mergeCell ref="C83:C84"/>
    <mergeCell ref="C86:C87"/>
    <mergeCell ref="C17:C18"/>
    <mergeCell ref="AF3:AG3"/>
    <mergeCell ref="Q5:R5"/>
    <mergeCell ref="S5:T5"/>
    <mergeCell ref="U4:V4"/>
    <mergeCell ref="W4:AA4"/>
    <mergeCell ref="C4:E4"/>
    <mergeCell ref="C5:E5"/>
    <mergeCell ref="AB5:AC5"/>
    <mergeCell ref="AD5:AE5"/>
    <mergeCell ref="AF5:AG5"/>
    <mergeCell ref="U5:V5"/>
    <mergeCell ref="W5:AA5"/>
    <mergeCell ref="F4:L4"/>
    <mergeCell ref="M4:N4"/>
    <mergeCell ref="O4:P4"/>
    <mergeCell ref="S4:T4"/>
    <mergeCell ref="CL109:CN109"/>
    <mergeCell ref="F2:L2"/>
    <mergeCell ref="M2:N2"/>
    <mergeCell ref="O2:P2"/>
    <mergeCell ref="Q2:R2"/>
    <mergeCell ref="C53:C54"/>
    <mergeCell ref="C23:C24"/>
    <mergeCell ref="C26:C27"/>
    <mergeCell ref="C28:C29"/>
    <mergeCell ref="C30:C31"/>
    <mergeCell ref="C32:C33"/>
    <mergeCell ref="C41:C42"/>
    <mergeCell ref="C43:C44"/>
    <mergeCell ref="C45:C46"/>
    <mergeCell ref="C38:C39"/>
    <mergeCell ref="Q4:R4"/>
    <mergeCell ref="AH3:AI3"/>
    <mergeCell ref="C11:C12"/>
    <mergeCell ref="C19:C20"/>
    <mergeCell ref="C21:C22"/>
    <mergeCell ref="F5:L5"/>
    <mergeCell ref="AB4:AC4"/>
    <mergeCell ref="AD4:AE4"/>
    <mergeCell ref="AF4:AG4"/>
    <mergeCell ref="CK106:CM106"/>
    <mergeCell ref="CK104:CM104"/>
    <mergeCell ref="CK103:CM103"/>
    <mergeCell ref="D6:E6"/>
    <mergeCell ref="F7:V7"/>
    <mergeCell ref="F107:V107"/>
    <mergeCell ref="C1:CG1"/>
    <mergeCell ref="F6:L6"/>
    <mergeCell ref="M6:N6"/>
    <mergeCell ref="O6:P6"/>
    <mergeCell ref="Q6:R6"/>
    <mergeCell ref="S6:T6"/>
    <mergeCell ref="U6:V6"/>
    <mergeCell ref="W6:AA6"/>
    <mergeCell ref="AB6:AC6"/>
    <mergeCell ref="AD6:AE6"/>
    <mergeCell ref="AF6:AG6"/>
    <mergeCell ref="AH6:AI6"/>
    <mergeCell ref="CD6:CG6"/>
    <mergeCell ref="CD2:CG2"/>
    <mergeCell ref="CD3:CG3"/>
    <mergeCell ref="AB3:AC3"/>
    <mergeCell ref="S2:T2"/>
    <mergeCell ref="AF2:AG2"/>
    <mergeCell ref="BJ3:BM3"/>
    <mergeCell ref="BN3:BQ3"/>
    <mergeCell ref="BR3:BU3"/>
    <mergeCell ref="AH2:AI2"/>
    <mergeCell ref="AJ2:AK2"/>
    <mergeCell ref="AJ3:AK3"/>
    <mergeCell ref="AJ4:AK4"/>
    <mergeCell ref="AJ5:AK5"/>
    <mergeCell ref="AJ6:AK6"/>
    <mergeCell ref="AL3:AM3"/>
    <mergeCell ref="AN3:AQ3"/>
    <mergeCell ref="AR3:AS3"/>
    <mergeCell ref="AL5:AM5"/>
    <mergeCell ref="AN5:AQ5"/>
    <mergeCell ref="AR5:AS5"/>
    <mergeCell ref="AL2:AM2"/>
    <mergeCell ref="AN2:AQ2"/>
    <mergeCell ref="AR2:AS2"/>
    <mergeCell ref="BN5:BQ5"/>
    <mergeCell ref="BR5:BU5"/>
    <mergeCell ref="BV3:BY3"/>
    <mergeCell ref="BZ3:CC3"/>
    <mergeCell ref="AL4:AM4"/>
    <mergeCell ref="AN4:AQ4"/>
    <mergeCell ref="AR4:AS4"/>
    <mergeCell ref="AT4:AU4"/>
    <mergeCell ref="AV4:AY4"/>
    <mergeCell ref="AZ4:BA4"/>
    <mergeCell ref="BB4:BC4"/>
    <mergeCell ref="BD4:BE4"/>
    <mergeCell ref="BF4:BI4"/>
    <mergeCell ref="BJ4:BM4"/>
    <mergeCell ref="BN4:BQ4"/>
    <mergeCell ref="BR4:BU4"/>
    <mergeCell ref="BV4:BY4"/>
    <mergeCell ref="BZ4:CC4"/>
    <mergeCell ref="AT3:AU3"/>
    <mergeCell ref="AV3:AY3"/>
    <mergeCell ref="AZ3:BA3"/>
    <mergeCell ref="BB3:BC3"/>
    <mergeCell ref="BD3:BE3"/>
    <mergeCell ref="BF3:BI3"/>
    <mergeCell ref="W107:AM107"/>
    <mergeCell ref="C59:E59"/>
    <mergeCell ref="AN7:BE7"/>
    <mergeCell ref="AN107:BE107"/>
    <mergeCell ref="C76:E76"/>
    <mergeCell ref="BF107:CG107"/>
    <mergeCell ref="AT2:AU2"/>
    <mergeCell ref="AV2:AY2"/>
    <mergeCell ref="AZ2:BA2"/>
    <mergeCell ref="BB2:BC2"/>
    <mergeCell ref="BD2:BE2"/>
    <mergeCell ref="BF2:BI2"/>
    <mergeCell ref="BJ2:BM2"/>
    <mergeCell ref="BN2:BQ2"/>
    <mergeCell ref="BR2:BU2"/>
    <mergeCell ref="BV5:BY5"/>
    <mergeCell ref="BZ5:CC5"/>
    <mergeCell ref="AL6:AM6"/>
    <mergeCell ref="AN6:AQ6"/>
    <mergeCell ref="AR6:AS6"/>
    <mergeCell ref="AT6:AU6"/>
    <mergeCell ref="AV6:AY6"/>
    <mergeCell ref="AZ6:BA6"/>
    <mergeCell ref="BB6:BC6"/>
    <mergeCell ref="CK92:CM92"/>
    <mergeCell ref="CK93:CM93"/>
    <mergeCell ref="BF7:CG7"/>
    <mergeCell ref="C85:E85"/>
    <mergeCell ref="BV2:BY2"/>
    <mergeCell ref="BZ2:CC2"/>
    <mergeCell ref="C8:E8"/>
    <mergeCell ref="C40:E40"/>
    <mergeCell ref="C49:C50"/>
    <mergeCell ref="W7:AM7"/>
    <mergeCell ref="BD6:BE6"/>
    <mergeCell ref="BF6:BI6"/>
    <mergeCell ref="BJ6:BM6"/>
    <mergeCell ref="BN6:BQ6"/>
    <mergeCell ref="BR6:BU6"/>
    <mergeCell ref="BV6:BY6"/>
    <mergeCell ref="BZ6:CC6"/>
    <mergeCell ref="AT5:AU5"/>
    <mergeCell ref="AV5:AY5"/>
    <mergeCell ref="AZ5:BA5"/>
    <mergeCell ref="BB5:BC5"/>
    <mergeCell ref="BD5:BE5"/>
    <mergeCell ref="BF5:BI5"/>
    <mergeCell ref="BJ5:BM5"/>
  </mergeCells>
  <phoneticPr fontId="18" type="noConversion"/>
  <conditionalFormatting sqref="CL109">
    <cfRule type="expression" dxfId="1" priority="1">
      <formula>$CN$106&gt;0</formula>
    </cfRule>
    <cfRule type="expression" dxfId="0" priority="8">
      <formula>$CN$106&lt;0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3.8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8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customXml/itemProps3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A_r_b_e_i_t_s_______P_l_a_n_u_n_g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 Bruno</dc:creator>
  <cp:keywords/>
  <dc:description/>
  <cp:lastModifiedBy>Martin Wyss</cp:lastModifiedBy>
  <cp:revision/>
  <dcterms:created xsi:type="dcterms:W3CDTF">2011-11-30T18:59:22Z</dcterms:created>
  <dcterms:modified xsi:type="dcterms:W3CDTF">2026-03-26T19:10:45Z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